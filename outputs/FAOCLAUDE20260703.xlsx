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OI Data" sheetId="1" state="visible" r:id="rId1"/>
    <sheet name="Raw TV Data" sheetId="2" state="visible" r:id="rId2"/>
    <sheet name="Raw Chain Data" sheetId="3" state="visible" r:id="rId3"/>
    <sheet name="OI Dashboard" sheetId="4" state="visible" r:id="rId4"/>
    <sheet name="TV Dashboard" sheetId="5" state="visible" r:id="rId5"/>
    <sheet name="Net OI &amp; Bias" sheetId="6" state="visible" r:id="rId6"/>
    <sheet name="PCR Analysis" sheetId="7" state="visible" r:id="rId7"/>
    <sheet name="OI-TV Efficiency" sheetId="8" state="visible" r:id="rId8"/>
    <sheet name="Day-on-Day Changes" sheetId="9" state="visible" r:id="rId9"/>
    <sheet name="Option Chain View" sheetId="10" state="visible" r:id="rId10"/>
    <sheet name="Max Pain" sheetId="11" state="visible" r:id="rId11"/>
    <sheet name="OI Walls &amp; Support" sheetId="12" state="visible" r:id="rId12"/>
    <sheet name="IV Skew" sheetId="13" state="visible" r:id="rId13"/>
    <sheet name="Sentiment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-#,##0;-"/>
    <numFmt numFmtId="165" formatCode="0.00x"/>
    <numFmt numFmtId="166" formatCode="0.0%"/>
    <numFmt numFmtId="167" formatCode="0.000"/>
    <numFmt numFmtId="168" formatCode="0.00;[Red]-0.0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E40AF"/>
      <sz val="10"/>
    </font>
    <font>
      <name val="Arial"/>
      <b val="1"/>
      <color rgb="0092400E"/>
      <sz val="10"/>
    </font>
    <font>
      <name val="Arial"/>
      <b val="1"/>
      <color rgb="00F9FAFB"/>
      <sz val="10"/>
    </font>
    <font>
      <name val="Arial"/>
      <color rgb="001F2937"/>
      <sz val="10"/>
    </font>
    <font>
      <name val="Arial"/>
      <b val="1"/>
      <color rgb="005B21B6"/>
      <sz val="10"/>
    </font>
    <font>
      <name val="Arial"/>
      <color rgb="005B21B6"/>
      <sz val="10"/>
    </font>
    <font>
      <name val="Arial"/>
      <b val="1"/>
      <color rgb="00000000"/>
      <sz val="10"/>
    </font>
    <font>
      <name val="Arial"/>
      <b val="1"/>
      <color rgb="001F2937"/>
      <sz val="10"/>
    </font>
    <font>
      <name val="Arial"/>
      <color rgb="00166534"/>
      <sz val="10"/>
    </font>
    <font>
      <name val="Arial"/>
      <color rgb="00991B1B"/>
      <sz val="10"/>
    </font>
    <font>
      <name val="Arial"/>
      <i val="1"/>
      <color rgb="006B7280"/>
      <sz val="10"/>
    </font>
  </fonts>
  <fills count="1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4B5563"/>
        <bgColor rgb="004B5563"/>
      </patternFill>
    </fill>
    <fill>
      <patternFill patternType="solid">
        <fgColor rgb="00F3F4F6"/>
        <bgColor rgb="00F3F4F6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FF7ED"/>
        <bgColor rgb="00FFF7ED"/>
      </patternFill>
    </fill>
    <fill>
      <patternFill patternType="solid">
        <fgColor rgb="00374151"/>
        <bgColor rgb="00374151"/>
      </patternFill>
    </fill>
    <fill>
      <patternFill patternType="solid">
        <fgColor rgb="00E5E7EB"/>
        <bgColor rgb="00E5E7EB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FEF9C3"/>
        <bgColor rgb="00FEF9C3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0" pivotButton="0" quotePrefix="0" xfId="0"/>
    <xf numFmtId="0" fontId="3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0" fontId="0" fillId="8" borderId="0" pivotButton="0" quotePrefix="0" xfId="0"/>
    <xf numFmtId="0" fontId="7" fillId="9" borderId="1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0" pivotButton="0" quotePrefix="0" xfId="0"/>
    <xf numFmtId="164" fontId="3" fillId="4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7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right" vertical="center"/>
    </xf>
    <xf numFmtId="2" fontId="3" fillId="6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2" fontId="3" fillId="7" borderId="1" applyAlignment="1" pivotButton="0" quotePrefix="0" xfId="0">
      <alignment horizontal="right" vertical="center"/>
    </xf>
    <xf numFmtId="2" fontId="9" fillId="11" borderId="1" applyAlignment="1" pivotButton="0" quotePrefix="0" xfId="0">
      <alignment horizontal="right" vertical="center"/>
    </xf>
    <xf numFmtId="3" fontId="10" fillId="12" borderId="1" applyAlignment="1" pivotButton="0" quotePrefix="0" xfId="0">
      <alignment horizontal="right" vertical="center"/>
    </xf>
    <xf numFmtId="3" fontId="3" fillId="12" borderId="1" applyAlignment="1" pivotButton="0" quotePrefix="0" xfId="0">
      <alignment horizontal="right" vertical="center"/>
    </xf>
    <xf numFmtId="2" fontId="3" fillId="12" borderId="1" applyAlignment="1" pivotButton="0" quotePrefix="0" xfId="0">
      <alignment horizontal="right" vertical="center"/>
    </xf>
    <xf numFmtId="2" fontId="9" fillId="12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/>
    </xf>
    <xf numFmtId="3" fontId="5" fillId="13" borderId="1" applyAlignment="1" pivotButton="0" quotePrefix="0" xfId="0">
      <alignment horizontal="right" vertical="center"/>
    </xf>
    <xf numFmtId="167" fontId="3" fillId="4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6" fontId="3" fillId="7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center" vertical="center" wrapText="1"/>
    </xf>
    <xf numFmtId="0" fontId="0" fillId="3" borderId="0" pivotButton="0" quotePrefix="0" xfId="0"/>
    <xf numFmtId="168" fontId="9" fillId="11" borderId="1" applyAlignment="1" pivotButton="0" quotePrefix="0" xfId="0">
      <alignment horizontal="right" vertical="center"/>
    </xf>
    <xf numFmtId="168" fontId="12" fillId="14" borderId="1" applyAlignment="1" pivotButton="0" quotePrefix="0" xfId="0">
      <alignment horizontal="right" vertical="center"/>
    </xf>
    <xf numFmtId="168" fontId="9" fillId="12" borderId="1" applyAlignment="1" pivotButton="0" quotePrefix="0" xfId="0">
      <alignment horizontal="right" vertical="center"/>
    </xf>
    <xf numFmtId="0" fontId="0" fillId="12" borderId="0" pivotButton="0" quotePrefix="0" xfId="0"/>
    <xf numFmtId="168" fontId="13" fillId="1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2" fontId="3" fillId="4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3" fontId="5" fillId="13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167" fontId="3" fillId="4" borderId="1" applyAlignment="1" pivotButton="0" quotePrefix="0" xfId="0">
      <alignment horizontal="center" vertical="center"/>
    </xf>
    <xf numFmtId="167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1" t="inlineStr">
        <is>
          <t>NSE FAO — Raw OI Data</t>
        </is>
      </c>
    </row>
    <row r="2" ht="28" customHeight="1">
      <c r="A2" s="2" t="inlineStr">
        <is>
          <t>Date</t>
        </is>
      </c>
      <c r="B2" s="2" t="inlineStr">
        <is>
          <t>Participant</t>
        </is>
      </c>
      <c r="C2" s="2" t="inlineStr">
        <is>
          <t>Fut Idx Long</t>
        </is>
      </c>
      <c r="D2" s="2" t="inlineStr">
        <is>
          <t>Fut Idx Short</t>
        </is>
      </c>
      <c r="E2" s="2" t="inlineStr">
        <is>
          <t>Fut Stk Long</t>
        </is>
      </c>
      <c r="F2" s="2" t="inlineStr">
        <is>
          <t>Fut Stk Short</t>
        </is>
      </c>
      <c r="G2" s="2" t="inlineStr">
        <is>
          <t>Opt Idx Call Long</t>
        </is>
      </c>
      <c r="H2" s="2" t="inlineStr">
        <is>
          <t>Opt Idx Put Long</t>
        </is>
      </c>
      <c r="I2" s="2" t="inlineStr">
        <is>
          <t>Opt Idx Call Short</t>
        </is>
      </c>
      <c r="J2" s="2" t="inlineStr">
        <is>
          <t>Opt Idx Put Short</t>
        </is>
      </c>
      <c r="K2" s="2" t="inlineStr">
        <is>
          <t>Opt Stk Call Long</t>
        </is>
      </c>
      <c r="L2" s="2" t="inlineStr">
        <is>
          <t>Opt Stk Put Long</t>
        </is>
      </c>
      <c r="M2" s="2" t="inlineStr">
        <is>
          <t>Opt Stk Call Short</t>
        </is>
      </c>
      <c r="N2" s="2" t="inlineStr">
        <is>
          <t>Opt Stk Put Short</t>
        </is>
      </c>
      <c r="O2" s="2" t="inlineStr">
        <is>
          <t>Total Long</t>
        </is>
      </c>
      <c r="P2" s="2" t="inlineStr">
        <is>
          <t>Total Short</t>
        </is>
      </c>
    </row>
    <row r="3" ht="14" customHeight="1">
      <c r="A3" s="3" t="inlineStr">
        <is>
          <t>Jun 29 2026</t>
        </is>
      </c>
      <c r="B3" s="3" t="inlineStr">
        <is>
          <t>Client</t>
        </is>
      </c>
      <c r="C3" s="4" t="n">
        <v>244810</v>
      </c>
      <c r="D3" s="4" t="n">
        <v>77464</v>
      </c>
      <c r="E3" s="4" t="n">
        <v>3250779</v>
      </c>
      <c r="F3" s="4" t="n">
        <v>294315</v>
      </c>
      <c r="G3" s="4" t="n">
        <v>3863212</v>
      </c>
      <c r="H3" s="4" t="n">
        <v>2826521</v>
      </c>
      <c r="I3" s="4" t="n">
        <v>3647290</v>
      </c>
      <c r="J3" s="4" t="n">
        <v>3573429</v>
      </c>
      <c r="K3" s="4" t="n">
        <v>2358177</v>
      </c>
      <c r="L3" s="4" t="n">
        <v>825355</v>
      </c>
      <c r="M3" s="4" t="n">
        <v>1343194</v>
      </c>
      <c r="N3" s="4" t="n">
        <v>1179028</v>
      </c>
      <c r="O3" s="4" t="n">
        <v>13368854</v>
      </c>
      <c r="P3" s="4" t="n">
        <v>10114720</v>
      </c>
    </row>
    <row r="4" ht="14" customHeight="1">
      <c r="A4" s="5" t="inlineStr">
        <is>
          <t>Jun 29 2026</t>
        </is>
      </c>
      <c r="B4" s="5" t="inlineStr">
        <is>
          <t>DII</t>
        </is>
      </c>
      <c r="C4" s="6" t="n">
        <v>82029</v>
      </c>
      <c r="D4" s="6" t="n">
        <v>11796</v>
      </c>
      <c r="E4" s="6" t="n">
        <v>469740</v>
      </c>
      <c r="F4" s="6" t="n">
        <v>4482036</v>
      </c>
      <c r="G4" s="6" t="n">
        <v>6109</v>
      </c>
      <c r="H4" s="6" t="n">
        <v>25857</v>
      </c>
      <c r="I4" s="6" t="n">
        <v>50</v>
      </c>
      <c r="J4" s="6" t="n">
        <v>194</v>
      </c>
      <c r="K4" s="6" t="n">
        <v>783</v>
      </c>
      <c r="L4" s="6" t="n">
        <v>43012</v>
      </c>
      <c r="M4" s="6" t="n">
        <v>408852</v>
      </c>
      <c r="N4" s="6" t="n">
        <v>17653</v>
      </c>
      <c r="O4" s="6" t="n">
        <v>627530</v>
      </c>
      <c r="P4" s="6" t="n">
        <v>4920581</v>
      </c>
    </row>
    <row r="5" ht="14" customHeight="1">
      <c r="A5" s="3" t="inlineStr">
        <is>
          <t>Jun 29 2026</t>
        </is>
      </c>
      <c r="B5" s="3" t="inlineStr">
        <is>
          <t>FII</t>
        </is>
      </c>
      <c r="C5" s="4" t="n">
        <v>60489</v>
      </c>
      <c r="D5" s="4" t="n">
        <v>294940</v>
      </c>
      <c r="E5" s="4" t="n">
        <v>4035844</v>
      </c>
      <c r="F5" s="4" t="n">
        <v>3359553</v>
      </c>
      <c r="G5" s="4" t="n">
        <v>871182</v>
      </c>
      <c r="H5" s="4" t="n">
        <v>1263889</v>
      </c>
      <c r="I5" s="4" t="n">
        <v>1116554</v>
      </c>
      <c r="J5" s="4" t="n">
        <v>647669</v>
      </c>
      <c r="K5" s="4" t="n">
        <v>297462</v>
      </c>
      <c r="L5" s="4" t="n">
        <v>462641</v>
      </c>
      <c r="M5" s="4" t="n">
        <v>501572</v>
      </c>
      <c r="N5" s="4" t="n">
        <v>302892</v>
      </c>
      <c r="O5" s="4" t="n">
        <v>6991507</v>
      </c>
      <c r="P5" s="4" t="n">
        <v>6223179</v>
      </c>
    </row>
    <row r="6" ht="14" customHeight="1">
      <c r="A6" s="5" t="inlineStr">
        <is>
          <t>Jun 29 2026</t>
        </is>
      </c>
      <c r="B6" s="5" t="inlineStr">
        <is>
          <t>Pro</t>
        </is>
      </c>
      <c r="C6" s="6" t="n">
        <v>49806</v>
      </c>
      <c r="D6" s="6" t="n">
        <v>52934</v>
      </c>
      <c r="E6" s="6" t="n">
        <v>964315</v>
      </c>
      <c r="F6" s="6" t="n">
        <v>584774</v>
      </c>
      <c r="G6" s="6" t="n">
        <v>1410184</v>
      </c>
      <c r="H6" s="6" t="n">
        <v>1209175</v>
      </c>
      <c r="I6" s="6" t="n">
        <v>1386793</v>
      </c>
      <c r="J6" s="6" t="n">
        <v>1104152</v>
      </c>
      <c r="K6" s="6" t="n">
        <v>1369821</v>
      </c>
      <c r="L6" s="6" t="n">
        <v>1256035</v>
      </c>
      <c r="M6" s="6" t="n">
        <v>1772625</v>
      </c>
      <c r="N6" s="6" t="n">
        <v>1087470</v>
      </c>
      <c r="O6" s="6" t="n">
        <v>6259337</v>
      </c>
      <c r="P6" s="6" t="n">
        <v>5988748</v>
      </c>
    </row>
    <row r="7" ht="14" customHeight="1">
      <c r="A7" s="3" t="inlineStr">
        <is>
          <t>Jun 30 2026</t>
        </is>
      </c>
      <c r="B7" s="3" t="inlineStr">
        <is>
          <t>Client</t>
        </is>
      </c>
      <c r="C7" s="4" t="n">
        <v>247940</v>
      </c>
      <c r="D7" s="4" t="n">
        <v>61833</v>
      </c>
      <c r="E7" s="4" t="n">
        <v>3159794</v>
      </c>
      <c r="F7" s="4" t="n">
        <v>185689</v>
      </c>
      <c r="G7" s="4" t="n">
        <v>1786336</v>
      </c>
      <c r="H7" s="4" t="n">
        <v>1224600</v>
      </c>
      <c r="I7" s="4" t="n">
        <v>1594036</v>
      </c>
      <c r="J7" s="4" t="n">
        <v>1941469</v>
      </c>
      <c r="K7" s="4" t="n">
        <v>1105057</v>
      </c>
      <c r="L7" s="4" t="n">
        <v>411416</v>
      </c>
      <c r="M7" s="4" t="n">
        <v>642125</v>
      </c>
      <c r="N7" s="4" t="n">
        <v>651636</v>
      </c>
      <c r="O7" s="4" t="n">
        <v>7935143</v>
      </c>
      <c r="P7" s="4" t="n">
        <v>5076787</v>
      </c>
    </row>
    <row r="8" ht="14" customHeight="1">
      <c r="A8" s="5" t="inlineStr">
        <is>
          <t>Jun 30 2026</t>
        </is>
      </c>
      <c r="B8" s="5" t="inlineStr">
        <is>
          <t>DII</t>
        </is>
      </c>
      <c r="C8" s="6" t="n">
        <v>72667</v>
      </c>
      <c r="D8" s="6" t="n">
        <v>11786</v>
      </c>
      <c r="E8" s="6" t="n">
        <v>246518</v>
      </c>
      <c r="F8" s="6" t="n">
        <v>4278999</v>
      </c>
      <c r="G8" s="6" t="n">
        <v>3350</v>
      </c>
      <c r="H8" s="6" t="n">
        <v>23205</v>
      </c>
      <c r="I8" s="6" t="n">
        <v>0</v>
      </c>
      <c r="J8" s="6" t="n">
        <v>179</v>
      </c>
      <c r="K8" s="6" t="n">
        <v>51</v>
      </c>
      <c r="L8" s="6" t="n">
        <v>32387</v>
      </c>
      <c r="M8" s="6" t="n">
        <v>70400</v>
      </c>
      <c r="N8" s="6" t="n">
        <v>2499</v>
      </c>
      <c r="O8" s="6" t="n">
        <v>378178</v>
      </c>
      <c r="P8" s="6" t="n">
        <v>4363863</v>
      </c>
    </row>
    <row r="9" ht="14" customHeight="1">
      <c r="A9" s="3" t="inlineStr">
        <is>
          <t>Jun 30 2026</t>
        </is>
      </c>
      <c r="B9" s="3" t="inlineStr">
        <is>
          <t>FII</t>
        </is>
      </c>
      <c r="C9" s="4" t="n">
        <v>33502</v>
      </c>
      <c r="D9" s="4" t="n">
        <v>289912</v>
      </c>
      <c r="E9" s="4" t="n">
        <v>3743679</v>
      </c>
      <c r="F9" s="4" t="n">
        <v>3233585</v>
      </c>
      <c r="G9" s="4" t="n">
        <v>330405</v>
      </c>
      <c r="H9" s="4" t="n">
        <v>750617</v>
      </c>
      <c r="I9" s="4" t="n">
        <v>563503</v>
      </c>
      <c r="J9" s="4" t="n">
        <v>218081</v>
      </c>
      <c r="K9" s="4" t="n">
        <v>60661</v>
      </c>
      <c r="L9" s="4" t="n">
        <v>105861</v>
      </c>
      <c r="M9" s="4" t="n">
        <v>109986</v>
      </c>
      <c r="N9" s="4" t="n">
        <v>66164</v>
      </c>
      <c r="O9" s="4" t="n">
        <v>5024724</v>
      </c>
      <c r="P9" s="4" t="n">
        <v>4481231</v>
      </c>
    </row>
    <row r="10" ht="14" customHeight="1">
      <c r="A10" s="5" t="inlineStr">
        <is>
          <t>Jun 30 2026</t>
        </is>
      </c>
      <c r="B10" s="5" t="inlineStr">
        <is>
          <t>Pro</t>
        </is>
      </c>
      <c r="C10" s="6" t="n">
        <v>39762</v>
      </c>
      <c r="D10" s="6" t="n">
        <v>30340</v>
      </c>
      <c r="E10" s="6" t="n">
        <v>854102</v>
      </c>
      <c r="F10" s="6" t="n">
        <v>305820</v>
      </c>
      <c r="G10" s="6" t="n">
        <v>575773</v>
      </c>
      <c r="H10" s="6" t="n">
        <v>700644</v>
      </c>
      <c r="I10" s="6" t="n">
        <v>538325</v>
      </c>
      <c r="J10" s="6" t="n">
        <v>539336</v>
      </c>
      <c r="K10" s="6" t="n">
        <v>445389</v>
      </c>
      <c r="L10" s="6" t="n">
        <v>612221</v>
      </c>
      <c r="M10" s="6" t="n">
        <v>788647</v>
      </c>
      <c r="N10" s="6" t="n">
        <v>441586</v>
      </c>
      <c r="O10" s="6" t="n">
        <v>3227890</v>
      </c>
      <c r="P10" s="6" t="n">
        <v>2644054</v>
      </c>
    </row>
    <row r="11" ht="14" customHeight="1">
      <c r="A11" s="3" t="inlineStr">
        <is>
          <t>Jul 01 2026</t>
        </is>
      </c>
      <c r="B11" s="3" t="inlineStr">
        <is>
          <t>Client</t>
        </is>
      </c>
      <c r="C11" s="4" t="n">
        <v>251066</v>
      </c>
      <c r="D11" s="4" t="n">
        <v>63543</v>
      </c>
      <c r="E11" s="4" t="n">
        <v>3194768</v>
      </c>
      <c r="F11" s="4" t="n">
        <v>198901</v>
      </c>
      <c r="G11" s="4" t="n">
        <v>2163161</v>
      </c>
      <c r="H11" s="4" t="n">
        <v>1888743</v>
      </c>
      <c r="I11" s="4" t="n">
        <v>2028147</v>
      </c>
      <c r="J11" s="4" t="n">
        <v>2586510</v>
      </c>
      <c r="K11" s="4" t="n">
        <v>1345153</v>
      </c>
      <c r="L11" s="4" t="n">
        <v>502739</v>
      </c>
      <c r="M11" s="4" t="n">
        <v>783794</v>
      </c>
      <c r="N11" s="4" t="n">
        <v>753173</v>
      </c>
      <c r="O11" s="4" t="n">
        <v>9345630</v>
      </c>
      <c r="P11" s="4" t="n">
        <v>6414068</v>
      </c>
    </row>
    <row r="12" ht="14" customHeight="1">
      <c r="A12" s="5" t="inlineStr">
        <is>
          <t>Jul 01 2026</t>
        </is>
      </c>
      <c r="B12" s="5" t="inlineStr">
        <is>
          <t>DII</t>
        </is>
      </c>
      <c r="C12" s="6" t="n">
        <v>72675</v>
      </c>
      <c r="D12" s="6" t="n">
        <v>11786</v>
      </c>
      <c r="E12" s="6" t="n">
        <v>253022</v>
      </c>
      <c r="F12" s="6" t="n">
        <v>4287615</v>
      </c>
      <c r="G12" s="6" t="n">
        <v>3485</v>
      </c>
      <c r="H12" s="6" t="n">
        <v>25675</v>
      </c>
      <c r="I12" s="6" t="n">
        <v>0</v>
      </c>
      <c r="J12" s="6" t="n">
        <v>179</v>
      </c>
      <c r="K12" s="6" t="n">
        <v>125</v>
      </c>
      <c r="L12" s="6" t="n">
        <v>33238</v>
      </c>
      <c r="M12" s="6" t="n">
        <v>134092</v>
      </c>
      <c r="N12" s="6" t="n">
        <v>2939</v>
      </c>
      <c r="O12" s="6" t="n">
        <v>388220</v>
      </c>
      <c r="P12" s="6" t="n">
        <v>4436611</v>
      </c>
    </row>
    <row r="13" ht="14" customHeight="1">
      <c r="A13" s="3" t="inlineStr">
        <is>
          <t>Jul 01 2026</t>
        </is>
      </c>
      <c r="B13" s="3" t="inlineStr">
        <is>
          <t>FII</t>
        </is>
      </c>
      <c r="C13" s="4" t="n">
        <v>32476</v>
      </c>
      <c r="D13" s="4" t="n">
        <v>292535</v>
      </c>
      <c r="E13" s="4" t="n">
        <v>3771958</v>
      </c>
      <c r="F13" s="4" t="n">
        <v>3275109</v>
      </c>
      <c r="G13" s="4" t="n">
        <v>424988</v>
      </c>
      <c r="H13" s="4" t="n">
        <v>881237</v>
      </c>
      <c r="I13" s="4" t="n">
        <v>674108</v>
      </c>
      <c r="J13" s="4" t="n">
        <v>375453</v>
      </c>
      <c r="K13" s="4" t="n">
        <v>89291</v>
      </c>
      <c r="L13" s="4" t="n">
        <v>142092</v>
      </c>
      <c r="M13" s="4" t="n">
        <v>154834</v>
      </c>
      <c r="N13" s="4" t="n">
        <v>98102</v>
      </c>
      <c r="O13" s="4" t="n">
        <v>5342042</v>
      </c>
      <c r="P13" s="4" t="n">
        <v>4870141</v>
      </c>
    </row>
    <row r="14" ht="14" customHeight="1">
      <c r="A14" s="5" t="inlineStr">
        <is>
          <t>Jul 01 2026</t>
        </is>
      </c>
      <c r="B14" s="5" t="inlineStr">
        <is>
          <t>Pro</t>
        </is>
      </c>
      <c r="C14" s="6" t="n">
        <v>40082</v>
      </c>
      <c r="D14" s="6" t="n">
        <v>28435</v>
      </c>
      <c r="E14" s="6" t="n">
        <v>869585</v>
      </c>
      <c r="F14" s="6" t="n">
        <v>327708</v>
      </c>
      <c r="G14" s="6" t="n">
        <v>736795</v>
      </c>
      <c r="H14" s="6" t="n">
        <v>907476</v>
      </c>
      <c r="I14" s="6" t="n">
        <v>626175</v>
      </c>
      <c r="J14" s="6" t="n">
        <v>740987</v>
      </c>
      <c r="K14" s="6" t="n">
        <v>595463</v>
      </c>
      <c r="L14" s="6" t="n">
        <v>727741</v>
      </c>
      <c r="M14" s="6" t="n">
        <v>957312</v>
      </c>
      <c r="N14" s="6" t="n">
        <v>551596</v>
      </c>
      <c r="O14" s="6" t="n">
        <v>3877142</v>
      </c>
      <c r="P14" s="6" t="n">
        <v>3232213</v>
      </c>
    </row>
    <row r="15" ht="14" customHeight="1">
      <c r="A15" s="3" t="inlineStr">
        <is>
          <t>Jul 02 2026</t>
        </is>
      </c>
      <c r="B15" s="3" t="inlineStr">
        <is>
          <t>Client</t>
        </is>
      </c>
      <c r="C15" s="4" t="n">
        <v>243441</v>
      </c>
      <c r="D15" s="4" t="n">
        <v>65455</v>
      </c>
      <c r="E15" s="4" t="n">
        <v>3188761</v>
      </c>
      <c r="F15" s="4" t="n">
        <v>209794</v>
      </c>
      <c r="G15" s="4" t="n">
        <v>2268313</v>
      </c>
      <c r="H15" s="4" t="n">
        <v>2447661</v>
      </c>
      <c r="I15" s="4" t="n">
        <v>2209220</v>
      </c>
      <c r="J15" s="4" t="n">
        <v>3024894</v>
      </c>
      <c r="K15" s="4" t="n">
        <v>1398494</v>
      </c>
      <c r="L15" s="4" t="n">
        <v>552702</v>
      </c>
      <c r="M15" s="4" t="n">
        <v>879183</v>
      </c>
      <c r="N15" s="4" t="n">
        <v>798193</v>
      </c>
      <c r="O15" s="4" t="n">
        <v>10099372</v>
      </c>
      <c r="P15" s="4" t="n">
        <v>7186739</v>
      </c>
    </row>
    <row r="16" ht="14" customHeight="1">
      <c r="A16" s="5" t="inlineStr">
        <is>
          <t>Jul 02 2026</t>
        </is>
      </c>
      <c r="B16" s="5" t="inlineStr">
        <is>
          <t>DII</t>
        </is>
      </c>
      <c r="C16" s="6" t="n">
        <v>76185</v>
      </c>
      <c r="D16" s="6" t="n">
        <v>11589</v>
      </c>
      <c r="E16" s="6" t="n">
        <v>260380</v>
      </c>
      <c r="F16" s="6" t="n">
        <v>4299854</v>
      </c>
      <c r="G16" s="6" t="n">
        <v>3460</v>
      </c>
      <c r="H16" s="6" t="n">
        <v>25675</v>
      </c>
      <c r="I16" s="6" t="n">
        <v>40</v>
      </c>
      <c r="J16" s="6" t="n">
        <v>1019</v>
      </c>
      <c r="K16" s="6" t="n">
        <v>91</v>
      </c>
      <c r="L16" s="6" t="n">
        <v>34259</v>
      </c>
      <c r="M16" s="6" t="n">
        <v>160828</v>
      </c>
      <c r="N16" s="6" t="n">
        <v>4275</v>
      </c>
      <c r="O16" s="6" t="n">
        <v>400050</v>
      </c>
      <c r="P16" s="6" t="n">
        <v>4477605</v>
      </c>
    </row>
    <row r="17" ht="14" customHeight="1">
      <c r="A17" s="3" t="inlineStr">
        <is>
          <t>Jul 02 2026</t>
        </is>
      </c>
      <c r="B17" s="3" t="inlineStr">
        <is>
          <t>FII</t>
        </is>
      </c>
      <c r="C17" s="4" t="n">
        <v>29443</v>
      </c>
      <c r="D17" s="4" t="n">
        <v>286343</v>
      </c>
      <c r="E17" s="4" t="n">
        <v>3804985</v>
      </c>
      <c r="F17" s="4" t="n">
        <v>3270416</v>
      </c>
      <c r="G17" s="4" t="n">
        <v>439185</v>
      </c>
      <c r="H17" s="4" t="n">
        <v>859057</v>
      </c>
      <c r="I17" s="4" t="n">
        <v>664085</v>
      </c>
      <c r="J17" s="4" t="n">
        <v>417015</v>
      </c>
      <c r="K17" s="4" t="n">
        <v>120063</v>
      </c>
      <c r="L17" s="4" t="n">
        <v>171871</v>
      </c>
      <c r="M17" s="4" t="n">
        <v>184025</v>
      </c>
      <c r="N17" s="4" t="n">
        <v>118217</v>
      </c>
      <c r="O17" s="4" t="n">
        <v>5424604</v>
      </c>
      <c r="P17" s="4" t="n">
        <v>4940101</v>
      </c>
    </row>
    <row r="18" ht="14" customHeight="1">
      <c r="A18" s="5" t="inlineStr">
        <is>
          <t>Jul 02 2026</t>
        </is>
      </c>
      <c r="B18" s="5" t="inlineStr">
        <is>
          <t>Pro</t>
        </is>
      </c>
      <c r="C18" s="6" t="n">
        <v>40808</v>
      </c>
      <c r="D18" s="6" t="n">
        <v>26490</v>
      </c>
      <c r="E18" s="6" t="n">
        <v>865927</v>
      </c>
      <c r="F18" s="6" t="n">
        <v>339989</v>
      </c>
      <c r="G18" s="6" t="n">
        <v>772614</v>
      </c>
      <c r="H18" s="6" t="n">
        <v>974285</v>
      </c>
      <c r="I18" s="6" t="n">
        <v>610227</v>
      </c>
      <c r="J18" s="6" t="n">
        <v>863750</v>
      </c>
      <c r="K18" s="6" t="n">
        <v>703710</v>
      </c>
      <c r="L18" s="6" t="n">
        <v>771167</v>
      </c>
      <c r="M18" s="6" t="n">
        <v>998322</v>
      </c>
      <c r="N18" s="6" t="n">
        <v>609314</v>
      </c>
      <c r="O18" s="6" t="n">
        <v>4128511</v>
      </c>
      <c r="P18" s="6" t="n">
        <v>3448093</v>
      </c>
    </row>
    <row r="19" ht="14" customHeight="1">
      <c r="A19" s="3" t="inlineStr">
        <is>
          <t>Jul 03 2026</t>
        </is>
      </c>
      <c r="B19" s="3" t="inlineStr">
        <is>
          <t>Client</t>
        </is>
      </c>
      <c r="C19" s="4" t="n">
        <v>239868</v>
      </c>
      <c r="D19" s="4" t="n">
        <v>67171</v>
      </c>
      <c r="E19" s="4" t="n">
        <v>3193072</v>
      </c>
      <c r="F19" s="4" t="n">
        <v>215579</v>
      </c>
      <c r="G19" s="4" t="n">
        <v>3096998</v>
      </c>
      <c r="H19" s="4" t="n">
        <v>2747363</v>
      </c>
      <c r="I19" s="4" t="n">
        <v>3007973</v>
      </c>
      <c r="J19" s="4" t="n">
        <v>3360184</v>
      </c>
      <c r="K19" s="4" t="n">
        <v>1543742</v>
      </c>
      <c r="L19" s="4" t="n">
        <v>596642</v>
      </c>
      <c r="M19" s="4" t="n">
        <v>970696</v>
      </c>
      <c r="N19" s="4" t="n">
        <v>863839</v>
      </c>
      <c r="O19" s="4" t="n">
        <v>11417685</v>
      </c>
      <c r="P19" s="4" t="n">
        <v>8485442</v>
      </c>
    </row>
    <row r="20" ht="14" customHeight="1">
      <c r="A20" s="5" t="inlineStr">
        <is>
          <t>Jul 03 2026</t>
        </is>
      </c>
      <c r="B20" s="5" t="inlineStr">
        <is>
          <t>DII</t>
        </is>
      </c>
      <c r="C20" s="6" t="n">
        <v>76163</v>
      </c>
      <c r="D20" s="6" t="n">
        <v>11589</v>
      </c>
      <c r="E20" s="6" t="n">
        <v>273405</v>
      </c>
      <c r="F20" s="6" t="n">
        <v>4308220</v>
      </c>
      <c r="G20" s="6" t="n">
        <v>4090</v>
      </c>
      <c r="H20" s="6" t="n">
        <v>26055</v>
      </c>
      <c r="I20" s="6" t="n">
        <v>835</v>
      </c>
      <c r="J20" s="6" t="n">
        <v>1014</v>
      </c>
      <c r="K20" s="6" t="n">
        <v>329</v>
      </c>
      <c r="L20" s="6" t="n">
        <v>34684</v>
      </c>
      <c r="M20" s="6" t="n">
        <v>201545</v>
      </c>
      <c r="N20" s="6" t="n">
        <v>6163</v>
      </c>
      <c r="O20" s="6" t="n">
        <v>414726</v>
      </c>
      <c r="P20" s="6" t="n">
        <v>4529366</v>
      </c>
    </row>
    <row r="21" ht="14" customHeight="1">
      <c r="A21" s="3" t="inlineStr">
        <is>
          <t>Jul 03 2026</t>
        </is>
      </c>
      <c r="B21" s="3" t="inlineStr">
        <is>
          <t>FII</t>
        </is>
      </c>
      <c r="C21" s="4" t="n">
        <v>29772</v>
      </c>
      <c r="D21" s="4" t="n">
        <v>280539</v>
      </c>
      <c r="E21" s="4" t="n">
        <v>3835098</v>
      </c>
      <c r="F21" s="4" t="n">
        <v>3287749</v>
      </c>
      <c r="G21" s="4" t="n">
        <v>479396</v>
      </c>
      <c r="H21" s="4" t="n">
        <v>921556</v>
      </c>
      <c r="I21" s="4" t="n">
        <v>712869</v>
      </c>
      <c r="J21" s="4" t="n">
        <v>444381</v>
      </c>
      <c r="K21" s="4" t="n">
        <v>138001</v>
      </c>
      <c r="L21" s="4" t="n">
        <v>199213</v>
      </c>
      <c r="M21" s="4" t="n">
        <v>218447</v>
      </c>
      <c r="N21" s="4" t="n">
        <v>134068</v>
      </c>
      <c r="O21" s="4" t="n">
        <v>5603036</v>
      </c>
      <c r="P21" s="4" t="n">
        <v>5078053</v>
      </c>
    </row>
    <row r="22" ht="14" customHeight="1">
      <c r="A22" s="5" t="inlineStr">
        <is>
          <t>Jul 03 2026</t>
        </is>
      </c>
      <c r="B22" s="5" t="inlineStr">
        <is>
          <t>Pro</t>
        </is>
      </c>
      <c r="C22" s="6" t="n">
        <v>44875</v>
      </c>
      <c r="D22" s="6" t="n">
        <v>31379</v>
      </c>
      <c r="E22" s="6" t="n">
        <v>866163</v>
      </c>
      <c r="F22" s="6" t="n">
        <v>356190</v>
      </c>
      <c r="G22" s="6" t="n">
        <v>929076</v>
      </c>
      <c r="H22" s="6" t="n">
        <v>1027040</v>
      </c>
      <c r="I22" s="6" t="n">
        <v>787884</v>
      </c>
      <c r="J22" s="6" t="n">
        <v>916435</v>
      </c>
      <c r="K22" s="6" t="n">
        <v>801053</v>
      </c>
      <c r="L22" s="6" t="n">
        <v>838873</v>
      </c>
      <c r="M22" s="6" t="n">
        <v>1092437</v>
      </c>
      <c r="N22" s="6" t="n">
        <v>665342</v>
      </c>
      <c r="O22" s="6" t="n">
        <v>4507080</v>
      </c>
      <c r="P22" s="6" t="n">
        <v>3849667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1" t="inlineStr">
        <is>
          <t>NSE FAO — Raw TV Data</t>
        </is>
      </c>
    </row>
    <row r="2" ht="28" customHeight="1">
      <c r="A2" s="2" t="inlineStr">
        <is>
          <t>Date</t>
        </is>
      </c>
      <c r="B2" s="2" t="inlineStr">
        <is>
          <t>Participant</t>
        </is>
      </c>
      <c r="C2" s="2" t="inlineStr">
        <is>
          <t>Fut Idx Long</t>
        </is>
      </c>
      <c r="D2" s="2" t="inlineStr">
        <is>
          <t>Fut Idx Short</t>
        </is>
      </c>
      <c r="E2" s="2" t="inlineStr">
        <is>
          <t>Fut Stk Long</t>
        </is>
      </c>
      <c r="F2" s="2" t="inlineStr">
        <is>
          <t>Fut Stk Short</t>
        </is>
      </c>
      <c r="G2" s="2" t="inlineStr">
        <is>
          <t>Opt Idx Call Long</t>
        </is>
      </c>
      <c r="H2" s="2" t="inlineStr">
        <is>
          <t>Opt Idx Put Long</t>
        </is>
      </c>
      <c r="I2" s="2" t="inlineStr">
        <is>
          <t>Opt Idx Call Short</t>
        </is>
      </c>
      <c r="J2" s="2" t="inlineStr">
        <is>
          <t>Opt Idx Put Short</t>
        </is>
      </c>
      <c r="K2" s="2" t="inlineStr">
        <is>
          <t>Opt Stk Call Long</t>
        </is>
      </c>
      <c r="L2" s="2" t="inlineStr">
        <is>
          <t>Opt Stk Put Long</t>
        </is>
      </c>
      <c r="M2" s="2" t="inlineStr">
        <is>
          <t>Opt Stk Call Short</t>
        </is>
      </c>
      <c r="N2" s="2" t="inlineStr">
        <is>
          <t>Opt Stk Put Short</t>
        </is>
      </c>
      <c r="O2" s="2" t="inlineStr">
        <is>
          <t>Total Long</t>
        </is>
      </c>
      <c r="P2" s="2" t="inlineStr">
        <is>
          <t>Total Short</t>
        </is>
      </c>
    </row>
    <row r="3" ht="14" customHeight="1">
      <c r="A3" s="3" t="inlineStr">
        <is>
          <t>Jun 29 2026</t>
        </is>
      </c>
      <c r="B3" s="3" t="inlineStr">
        <is>
          <t>Client</t>
        </is>
      </c>
      <c r="C3" s="4" t="n">
        <v>97911</v>
      </c>
      <c r="D3" s="4" t="n">
        <v>81607</v>
      </c>
      <c r="E3" s="4" t="n">
        <v>1067961</v>
      </c>
      <c r="F3" s="4" t="n">
        <v>1067411</v>
      </c>
      <c r="G3" s="4" t="n">
        <v>30943222</v>
      </c>
      <c r="H3" s="4" t="n">
        <v>35949720</v>
      </c>
      <c r="I3" s="4" t="n">
        <v>30866819</v>
      </c>
      <c r="J3" s="4" t="n">
        <v>35965728</v>
      </c>
      <c r="K3" s="4" t="n">
        <v>1959829</v>
      </c>
      <c r="L3" s="4" t="n">
        <v>1025743</v>
      </c>
      <c r="M3" s="4" t="n">
        <v>2016260</v>
      </c>
      <c r="N3" s="4" t="n">
        <v>1017545</v>
      </c>
      <c r="O3" s="4" t="n">
        <v>71044386</v>
      </c>
      <c r="P3" s="4" t="n">
        <v>71015370</v>
      </c>
    </row>
    <row r="4" ht="14" customHeight="1">
      <c r="A4" s="5" t="inlineStr">
        <is>
          <t>Jun 29 2026</t>
        </is>
      </c>
      <c r="B4" s="5" t="inlineStr">
        <is>
          <t>DII</t>
        </is>
      </c>
      <c r="C4" s="6" t="n">
        <v>15495</v>
      </c>
      <c r="D4" s="6" t="n">
        <v>14649</v>
      </c>
      <c r="E4" s="6" t="n">
        <v>1268072</v>
      </c>
      <c r="F4" s="6" t="n">
        <v>1260385</v>
      </c>
      <c r="G4" s="6" t="n">
        <v>225</v>
      </c>
      <c r="H4" s="6" t="n">
        <v>8626</v>
      </c>
      <c r="I4" s="6" t="n">
        <v>160</v>
      </c>
      <c r="J4" s="6" t="n">
        <v>3076</v>
      </c>
      <c r="K4" s="6" t="n">
        <v>26426</v>
      </c>
      <c r="L4" s="6" t="n">
        <v>8835</v>
      </c>
      <c r="M4" s="6" t="n">
        <v>26553</v>
      </c>
      <c r="N4" s="6" t="n">
        <v>4718</v>
      </c>
      <c r="O4" s="6" t="n">
        <v>1327679</v>
      </c>
      <c r="P4" s="6" t="n">
        <v>1309541</v>
      </c>
    </row>
    <row r="5" ht="14" customHeight="1">
      <c r="A5" s="3" t="inlineStr">
        <is>
          <t>Jun 29 2026</t>
        </is>
      </c>
      <c r="B5" s="3" t="inlineStr">
        <is>
          <t>FII</t>
        </is>
      </c>
      <c r="C5" s="4" t="n">
        <v>83108</v>
      </c>
      <c r="D5" s="4" t="n">
        <v>93750</v>
      </c>
      <c r="E5" s="4" t="n">
        <v>2056429</v>
      </c>
      <c r="F5" s="4" t="n">
        <v>2033129</v>
      </c>
      <c r="G5" s="4" t="n">
        <v>4761247</v>
      </c>
      <c r="H5" s="4" t="n">
        <v>5101873</v>
      </c>
      <c r="I5" s="4" t="n">
        <v>4746707</v>
      </c>
      <c r="J5" s="4" t="n">
        <v>5082298</v>
      </c>
      <c r="K5" s="4" t="n">
        <v>719790</v>
      </c>
      <c r="L5" s="4" t="n">
        <v>331834</v>
      </c>
      <c r="M5" s="4" t="n">
        <v>743206</v>
      </c>
      <c r="N5" s="4" t="n">
        <v>338621</v>
      </c>
      <c r="O5" s="4" t="n">
        <v>13054281</v>
      </c>
      <c r="P5" s="4" t="n">
        <v>13037711</v>
      </c>
    </row>
    <row r="6" ht="14" customHeight="1">
      <c r="A6" s="5" t="inlineStr">
        <is>
          <t>Jun 29 2026</t>
        </is>
      </c>
      <c r="B6" s="5" t="inlineStr">
        <is>
          <t>Pro</t>
        </is>
      </c>
      <c r="C6" s="6" t="n">
        <v>39167</v>
      </c>
      <c r="D6" s="6" t="n">
        <v>45675</v>
      </c>
      <c r="E6" s="6" t="n">
        <v>1134468</v>
      </c>
      <c r="F6" s="6" t="n">
        <v>1166005</v>
      </c>
      <c r="G6" s="6" t="n">
        <v>42068364</v>
      </c>
      <c r="H6" s="6" t="n">
        <v>47772488</v>
      </c>
      <c r="I6" s="6" t="n">
        <v>42159372</v>
      </c>
      <c r="J6" s="6" t="n">
        <v>47781605</v>
      </c>
      <c r="K6" s="6" t="n">
        <v>5030061</v>
      </c>
      <c r="L6" s="6" t="n">
        <v>3397244</v>
      </c>
      <c r="M6" s="6" t="n">
        <v>4950087</v>
      </c>
      <c r="N6" s="6" t="n">
        <v>3402772</v>
      </c>
      <c r="O6" s="6" t="n">
        <v>99441792</v>
      </c>
      <c r="P6" s="6" t="n">
        <v>99505516</v>
      </c>
    </row>
    <row r="7" ht="14" customHeight="1">
      <c r="A7" s="3" t="inlineStr">
        <is>
          <t>Jun 30 2026</t>
        </is>
      </c>
      <c r="B7" s="3" t="inlineStr">
        <is>
          <t>Client</t>
        </is>
      </c>
      <c r="C7" s="4" t="n">
        <v>135165</v>
      </c>
      <c r="D7" s="4" t="n">
        <v>107950</v>
      </c>
      <c r="E7" s="4" t="n">
        <v>987700</v>
      </c>
      <c r="F7" s="4" t="n">
        <v>992576</v>
      </c>
      <c r="G7" s="4" t="n">
        <v>75958613</v>
      </c>
      <c r="H7" s="4" t="n">
        <v>76460947</v>
      </c>
      <c r="I7" s="4" t="n">
        <v>76047061</v>
      </c>
      <c r="J7" s="4" t="n">
        <v>76815187</v>
      </c>
      <c r="K7" s="4" t="n">
        <v>1544409</v>
      </c>
      <c r="L7" s="4" t="n">
        <v>825526</v>
      </c>
      <c r="M7" s="4" t="n">
        <v>1747706</v>
      </c>
      <c r="N7" s="4" t="n">
        <v>813316</v>
      </c>
      <c r="O7" s="4" t="n">
        <v>155912360</v>
      </c>
      <c r="P7" s="4" t="n">
        <v>156523796</v>
      </c>
    </row>
    <row r="8" ht="14" customHeight="1">
      <c r="A8" s="5" t="inlineStr">
        <is>
          <t>Jun 30 2026</t>
        </is>
      </c>
      <c r="B8" s="5" t="inlineStr">
        <is>
          <t>DII</t>
        </is>
      </c>
      <c r="C8" s="6" t="n">
        <v>14545</v>
      </c>
      <c r="D8" s="6" t="n">
        <v>14664</v>
      </c>
      <c r="E8" s="6" t="n">
        <v>778869</v>
      </c>
      <c r="F8" s="6" t="n">
        <v>740517</v>
      </c>
      <c r="G8" s="6" t="n">
        <v>129</v>
      </c>
      <c r="H8" s="6" t="n">
        <v>7079</v>
      </c>
      <c r="I8" s="6" t="n">
        <v>13</v>
      </c>
      <c r="J8" s="6" t="n">
        <v>3383</v>
      </c>
      <c r="K8" s="6" t="n">
        <v>36049</v>
      </c>
      <c r="L8" s="6" t="n">
        <v>20065</v>
      </c>
      <c r="M8" s="6" t="n">
        <v>33289</v>
      </c>
      <c r="N8" s="6" t="n">
        <v>4673</v>
      </c>
      <c r="O8" s="6" t="n">
        <v>856736</v>
      </c>
      <c r="P8" s="6" t="n">
        <v>796539</v>
      </c>
    </row>
    <row r="9" ht="14" customHeight="1">
      <c r="A9" s="3" t="inlineStr">
        <is>
          <t>Jun 30 2026</t>
        </is>
      </c>
      <c r="B9" s="3" t="inlineStr">
        <is>
          <t>FII</t>
        </is>
      </c>
      <c r="C9" s="4" t="n">
        <v>52322</v>
      </c>
      <c r="D9" s="4" t="n">
        <v>94754</v>
      </c>
      <c r="E9" s="4" t="n">
        <v>563935</v>
      </c>
      <c r="F9" s="4" t="n">
        <v>591908</v>
      </c>
      <c r="G9" s="4" t="n">
        <v>12168278</v>
      </c>
      <c r="H9" s="4" t="n">
        <v>12134969</v>
      </c>
      <c r="I9" s="4" t="n">
        <v>12217924</v>
      </c>
      <c r="J9" s="4" t="n">
        <v>12152177</v>
      </c>
      <c r="K9" s="4" t="n">
        <v>138358</v>
      </c>
      <c r="L9" s="4" t="n">
        <v>108360</v>
      </c>
      <c r="M9" s="4" t="n">
        <v>157331</v>
      </c>
      <c r="N9" s="4" t="n">
        <v>113197</v>
      </c>
      <c r="O9" s="4" t="n">
        <v>25166222</v>
      </c>
      <c r="P9" s="4" t="n">
        <v>25327291</v>
      </c>
    </row>
    <row r="10" ht="14" customHeight="1">
      <c r="A10" s="5" t="inlineStr">
        <is>
          <t>Jun 30 2026</t>
        </is>
      </c>
      <c r="B10" s="5" t="inlineStr">
        <is>
          <t>Pro</t>
        </is>
      </c>
      <c r="C10" s="6" t="n">
        <v>60442</v>
      </c>
      <c r="D10" s="6" t="n">
        <v>45106</v>
      </c>
      <c r="E10" s="6" t="n">
        <v>991821</v>
      </c>
      <c r="F10" s="6" t="n">
        <v>997324</v>
      </c>
      <c r="G10" s="6" t="n">
        <v>145732077</v>
      </c>
      <c r="H10" s="6" t="n">
        <v>144010663</v>
      </c>
      <c r="I10" s="6" t="n">
        <v>145594099</v>
      </c>
      <c r="J10" s="6" t="n">
        <v>143642911</v>
      </c>
      <c r="K10" s="6" t="n">
        <v>3215552</v>
      </c>
      <c r="L10" s="6" t="n">
        <v>1938645</v>
      </c>
      <c r="M10" s="6" t="n">
        <v>2996042</v>
      </c>
      <c r="N10" s="6" t="n">
        <v>1961410</v>
      </c>
      <c r="O10" s="6" t="n">
        <v>295949200</v>
      </c>
      <c r="P10" s="6" t="n">
        <v>295236892</v>
      </c>
    </row>
    <row r="11" ht="14" customHeight="1">
      <c r="A11" s="3" t="inlineStr">
        <is>
          <t>Jul 01 2026</t>
        </is>
      </c>
      <c r="B11" s="3" t="inlineStr">
        <is>
          <t>Client</t>
        </is>
      </c>
      <c r="C11" s="4" t="n">
        <v>38315</v>
      </c>
      <c r="D11" s="4" t="n">
        <v>36899</v>
      </c>
      <c r="E11" s="4" t="n">
        <v>318985</v>
      </c>
      <c r="F11" s="4" t="n">
        <v>297223</v>
      </c>
      <c r="G11" s="4" t="n">
        <v>11055090</v>
      </c>
      <c r="H11" s="4" t="n">
        <v>9548800</v>
      </c>
      <c r="I11" s="4" t="n">
        <v>11112376</v>
      </c>
      <c r="J11" s="4" t="n">
        <v>9529699</v>
      </c>
      <c r="K11" s="4" t="n">
        <v>1185213</v>
      </c>
      <c r="L11" s="4" t="n">
        <v>424204</v>
      </c>
      <c r="M11" s="4" t="n">
        <v>1086786</v>
      </c>
      <c r="N11" s="4" t="n">
        <v>434418</v>
      </c>
      <c r="O11" s="4" t="n">
        <v>22570607</v>
      </c>
      <c r="P11" s="4" t="n">
        <v>22497401</v>
      </c>
    </row>
    <row r="12" ht="14" customHeight="1">
      <c r="A12" s="5" t="inlineStr">
        <is>
          <t>Jul 01 2026</t>
        </is>
      </c>
      <c r="B12" s="5" t="inlineStr">
        <is>
          <t>DII</t>
        </is>
      </c>
      <c r="C12" s="6" t="n">
        <v>38</v>
      </c>
      <c r="D12" s="6" t="n">
        <v>30</v>
      </c>
      <c r="E12" s="6" t="n">
        <v>62007</v>
      </c>
      <c r="F12" s="6" t="n">
        <v>64119</v>
      </c>
      <c r="G12" s="6" t="n">
        <v>160</v>
      </c>
      <c r="H12" s="6" t="n">
        <v>2470</v>
      </c>
      <c r="I12" s="6" t="n">
        <v>25</v>
      </c>
      <c r="J12" s="6" t="n">
        <v>0</v>
      </c>
      <c r="K12" s="6" t="n">
        <v>187</v>
      </c>
      <c r="L12" s="6" t="n">
        <v>965</v>
      </c>
      <c r="M12" s="6" t="n">
        <v>63805</v>
      </c>
      <c r="N12" s="6" t="n">
        <v>554</v>
      </c>
      <c r="O12" s="6" t="n">
        <v>65827</v>
      </c>
      <c r="P12" s="6" t="n">
        <v>128533</v>
      </c>
    </row>
    <row r="13" ht="14" customHeight="1">
      <c r="A13" s="3" t="inlineStr">
        <is>
          <t>Jul 01 2026</t>
        </is>
      </c>
      <c r="B13" s="3" t="inlineStr">
        <is>
          <t>FII</t>
        </is>
      </c>
      <c r="C13" s="4" t="n">
        <v>8329</v>
      </c>
      <c r="D13" s="4" t="n">
        <v>11978</v>
      </c>
      <c r="E13" s="4" t="n">
        <v>254926</v>
      </c>
      <c r="F13" s="4" t="n">
        <v>268171</v>
      </c>
      <c r="G13" s="4" t="n">
        <v>1602749</v>
      </c>
      <c r="H13" s="4" t="n">
        <v>1679752</v>
      </c>
      <c r="I13" s="4" t="n">
        <v>1618771</v>
      </c>
      <c r="J13" s="4" t="n">
        <v>1706504</v>
      </c>
      <c r="K13" s="4" t="n">
        <v>112829</v>
      </c>
      <c r="L13" s="4" t="n">
        <v>89589</v>
      </c>
      <c r="M13" s="4" t="n">
        <v>129047</v>
      </c>
      <c r="N13" s="4" t="n">
        <v>85296</v>
      </c>
      <c r="O13" s="4" t="n">
        <v>3748174</v>
      </c>
      <c r="P13" s="4" t="n">
        <v>3819767</v>
      </c>
    </row>
    <row r="14" ht="14" customHeight="1">
      <c r="A14" s="5" t="inlineStr">
        <is>
          <t>Jul 01 2026</t>
        </is>
      </c>
      <c r="B14" s="5" t="inlineStr">
        <is>
          <t>Pro</t>
        </is>
      </c>
      <c r="C14" s="6" t="n">
        <v>17737</v>
      </c>
      <c r="D14" s="6" t="n">
        <v>15512</v>
      </c>
      <c r="E14" s="6" t="n">
        <v>368951</v>
      </c>
      <c r="F14" s="6" t="n">
        <v>375356</v>
      </c>
      <c r="G14" s="6" t="n">
        <v>11982776</v>
      </c>
      <c r="H14" s="6" t="n">
        <v>10654692</v>
      </c>
      <c r="I14" s="6" t="n">
        <v>11909603</v>
      </c>
      <c r="J14" s="6" t="n">
        <v>10649511</v>
      </c>
      <c r="K14" s="6" t="n">
        <v>2074601</v>
      </c>
      <c r="L14" s="6" t="n">
        <v>1181581</v>
      </c>
      <c r="M14" s="6" t="n">
        <v>2093192</v>
      </c>
      <c r="N14" s="6" t="n">
        <v>1176071</v>
      </c>
      <c r="O14" s="6" t="n">
        <v>26280338</v>
      </c>
      <c r="P14" s="6" t="n">
        <v>26219245</v>
      </c>
    </row>
    <row r="15" ht="14" customHeight="1">
      <c r="A15" s="3" t="inlineStr">
        <is>
          <t>Jul 02 2026</t>
        </is>
      </c>
      <c r="B15" s="3" t="inlineStr">
        <is>
          <t>Client</t>
        </is>
      </c>
      <c r="C15" s="4" t="n">
        <v>36217</v>
      </c>
      <c r="D15" s="4" t="n">
        <v>45754</v>
      </c>
      <c r="E15" s="4" t="n">
        <v>307640</v>
      </c>
      <c r="F15" s="4" t="n">
        <v>324540</v>
      </c>
      <c r="G15" s="4" t="n">
        <v>10421970</v>
      </c>
      <c r="H15" s="4" t="n">
        <v>9420694</v>
      </c>
      <c r="I15" s="4" t="n">
        <v>10497891</v>
      </c>
      <c r="J15" s="4" t="n">
        <v>9300159</v>
      </c>
      <c r="K15" s="4" t="n">
        <v>1075111</v>
      </c>
      <c r="L15" s="4" t="n">
        <v>405185</v>
      </c>
      <c r="M15" s="4" t="n">
        <v>1117159</v>
      </c>
      <c r="N15" s="4" t="n">
        <v>400242</v>
      </c>
      <c r="O15" s="4" t="n">
        <v>21666817</v>
      </c>
      <c r="P15" s="4" t="n">
        <v>21685745</v>
      </c>
    </row>
    <row r="16" ht="14" customHeight="1">
      <c r="A16" s="5" t="inlineStr">
        <is>
          <t>Jul 02 2026</t>
        </is>
      </c>
      <c r="B16" s="5" t="inlineStr">
        <is>
          <t>DII</t>
        </is>
      </c>
      <c r="C16" s="6" t="n">
        <v>3707</v>
      </c>
      <c r="D16" s="6" t="n">
        <v>0</v>
      </c>
      <c r="E16" s="6" t="n">
        <v>64787</v>
      </c>
      <c r="F16" s="6" t="n">
        <v>69668</v>
      </c>
      <c r="G16" s="6" t="n">
        <v>75</v>
      </c>
      <c r="H16" s="6" t="n">
        <v>0</v>
      </c>
      <c r="I16" s="6" t="n">
        <v>140</v>
      </c>
      <c r="J16" s="6" t="n">
        <v>840</v>
      </c>
      <c r="K16" s="6" t="n">
        <v>158</v>
      </c>
      <c r="L16" s="6" t="n">
        <v>1217</v>
      </c>
      <c r="M16" s="6" t="n">
        <v>26928</v>
      </c>
      <c r="N16" s="6" t="n">
        <v>1532</v>
      </c>
      <c r="O16" s="6" t="n">
        <v>69944</v>
      </c>
      <c r="P16" s="6" t="n">
        <v>99108</v>
      </c>
    </row>
    <row r="17" ht="14" customHeight="1">
      <c r="A17" s="3" t="inlineStr">
        <is>
          <t>Jul 02 2026</t>
        </is>
      </c>
      <c r="B17" s="3" t="inlineStr">
        <is>
          <t>FII</t>
        </is>
      </c>
      <c r="C17" s="4" t="n">
        <v>14087</v>
      </c>
      <c r="D17" s="4" t="n">
        <v>10928</v>
      </c>
      <c r="E17" s="4" t="n">
        <v>311107</v>
      </c>
      <c r="F17" s="4" t="n">
        <v>273387</v>
      </c>
      <c r="G17" s="4" t="n">
        <v>1973383</v>
      </c>
      <c r="H17" s="4" t="n">
        <v>1963695</v>
      </c>
      <c r="I17" s="4" t="n">
        <v>1949163</v>
      </c>
      <c r="J17" s="4" t="n">
        <v>2027436</v>
      </c>
      <c r="K17" s="4" t="n">
        <v>127427</v>
      </c>
      <c r="L17" s="4" t="n">
        <v>92937</v>
      </c>
      <c r="M17" s="4" t="n">
        <v>125846</v>
      </c>
      <c r="N17" s="4" t="n">
        <v>83273</v>
      </c>
      <c r="O17" s="4" t="n">
        <v>4482636</v>
      </c>
      <c r="P17" s="4" t="n">
        <v>4470033</v>
      </c>
    </row>
    <row r="18" ht="14" customHeight="1">
      <c r="A18" s="5" t="inlineStr">
        <is>
          <t>Jul 02 2026</t>
        </is>
      </c>
      <c r="B18" s="5" t="inlineStr">
        <is>
          <t>Pro</t>
        </is>
      </c>
      <c r="C18" s="6" t="n">
        <v>18164</v>
      </c>
      <c r="D18" s="6" t="n">
        <v>15493</v>
      </c>
      <c r="E18" s="6" t="n">
        <v>355346</v>
      </c>
      <c r="F18" s="6" t="n">
        <v>371285</v>
      </c>
      <c r="G18" s="6" t="n">
        <v>13663059</v>
      </c>
      <c r="H18" s="6" t="n">
        <v>12583231</v>
      </c>
      <c r="I18" s="6" t="n">
        <v>13611293</v>
      </c>
      <c r="J18" s="6" t="n">
        <v>12639185</v>
      </c>
      <c r="K18" s="6" t="n">
        <v>2016344</v>
      </c>
      <c r="L18" s="6" t="n">
        <v>1098776</v>
      </c>
      <c r="M18" s="6" t="n">
        <v>1949107</v>
      </c>
      <c r="N18" s="6" t="n">
        <v>1113068</v>
      </c>
      <c r="O18" s="6" t="n">
        <v>29734920</v>
      </c>
      <c r="P18" s="6" t="n">
        <v>29699431</v>
      </c>
    </row>
    <row r="19" ht="14" customHeight="1">
      <c r="A19" s="3" t="inlineStr">
        <is>
          <t>Jul 03 2026</t>
        </is>
      </c>
      <c r="B19" s="3" t="inlineStr">
        <is>
          <t>Client</t>
        </is>
      </c>
      <c r="C19" s="4" t="n">
        <v>40468</v>
      </c>
      <c r="D19" s="4" t="n">
        <v>45757</v>
      </c>
      <c r="E19" s="4" t="n">
        <v>339271</v>
      </c>
      <c r="F19" s="4" t="n">
        <v>340745</v>
      </c>
      <c r="G19" s="4" t="n">
        <v>19331141</v>
      </c>
      <c r="H19" s="4" t="n">
        <v>19707743</v>
      </c>
      <c r="I19" s="4" t="n">
        <v>19301209</v>
      </c>
      <c r="J19" s="4" t="n">
        <v>19743331</v>
      </c>
      <c r="K19" s="4" t="n">
        <v>1302701</v>
      </c>
      <c r="L19" s="4" t="n">
        <v>460934</v>
      </c>
      <c r="M19" s="4" t="n">
        <v>1248966</v>
      </c>
      <c r="N19" s="4" t="n">
        <v>482640</v>
      </c>
      <c r="O19" s="4" t="n">
        <v>41182258</v>
      </c>
      <c r="P19" s="4" t="n">
        <v>41162648</v>
      </c>
    </row>
    <row r="20" ht="14" customHeight="1">
      <c r="A20" s="5" t="inlineStr">
        <is>
          <t>Jul 03 2026</t>
        </is>
      </c>
      <c r="B20" s="5" t="inlineStr">
        <is>
          <t>DII</t>
        </is>
      </c>
      <c r="C20" s="6" t="n">
        <v>112</v>
      </c>
      <c r="D20" s="6" t="n">
        <v>134</v>
      </c>
      <c r="E20" s="6" t="n">
        <v>73703</v>
      </c>
      <c r="F20" s="6" t="n">
        <v>69044</v>
      </c>
      <c r="G20" s="6" t="n">
        <v>670</v>
      </c>
      <c r="H20" s="6" t="n">
        <v>465</v>
      </c>
      <c r="I20" s="6" t="n">
        <v>835</v>
      </c>
      <c r="J20" s="6" t="n">
        <v>80</v>
      </c>
      <c r="K20" s="6" t="n">
        <v>706</v>
      </c>
      <c r="L20" s="6" t="n">
        <v>799</v>
      </c>
      <c r="M20" s="6" t="n">
        <v>41185</v>
      </c>
      <c r="N20" s="6" t="n">
        <v>2262</v>
      </c>
      <c r="O20" s="6" t="n">
        <v>76455</v>
      </c>
      <c r="P20" s="6" t="n">
        <v>113540</v>
      </c>
    </row>
    <row r="21" ht="14" customHeight="1">
      <c r="A21" s="3" t="inlineStr">
        <is>
          <t>Jul 03 2026</t>
        </is>
      </c>
      <c r="B21" s="3" t="inlineStr">
        <is>
          <t>FII</t>
        </is>
      </c>
      <c r="C21" s="4" t="n">
        <v>13475</v>
      </c>
      <c r="D21" s="4" t="n">
        <v>7342</v>
      </c>
      <c r="E21" s="4" t="n">
        <v>301682</v>
      </c>
      <c r="F21" s="4" t="n">
        <v>288902</v>
      </c>
      <c r="G21" s="4" t="n">
        <v>2314134</v>
      </c>
      <c r="H21" s="4" t="n">
        <v>2633504</v>
      </c>
      <c r="I21" s="4" t="n">
        <v>2322707</v>
      </c>
      <c r="J21" s="4" t="n">
        <v>2598371</v>
      </c>
      <c r="K21" s="4" t="n">
        <v>179265</v>
      </c>
      <c r="L21" s="4" t="n">
        <v>120553</v>
      </c>
      <c r="M21" s="4" t="n">
        <v>195749</v>
      </c>
      <c r="N21" s="4" t="n">
        <v>109062</v>
      </c>
      <c r="O21" s="4" t="n">
        <v>5562613</v>
      </c>
      <c r="P21" s="4" t="n">
        <v>5522133</v>
      </c>
    </row>
    <row r="22" ht="14" customHeight="1">
      <c r="A22" s="5" t="inlineStr">
        <is>
          <t>Jul 03 2026</t>
        </is>
      </c>
      <c r="B22" s="5" t="inlineStr">
        <is>
          <t>Pro</t>
        </is>
      </c>
      <c r="C22" s="6" t="n">
        <v>20756</v>
      </c>
      <c r="D22" s="6" t="n">
        <v>21578</v>
      </c>
      <c r="E22" s="6" t="n">
        <v>396766</v>
      </c>
      <c r="F22" s="6" t="n">
        <v>412731</v>
      </c>
      <c r="G22" s="6" t="n">
        <v>22384789</v>
      </c>
      <c r="H22" s="6" t="n">
        <v>23909727</v>
      </c>
      <c r="I22" s="6" t="n">
        <v>22405983</v>
      </c>
      <c r="J22" s="6" t="n">
        <v>23909657</v>
      </c>
      <c r="K22" s="6" t="n">
        <v>2320937</v>
      </c>
      <c r="L22" s="6" t="n">
        <v>1273133</v>
      </c>
      <c r="M22" s="6" t="n">
        <v>2317709</v>
      </c>
      <c r="N22" s="6" t="n">
        <v>1261455</v>
      </c>
      <c r="O22" s="6" t="n">
        <v>50306108</v>
      </c>
      <c r="P22" s="6" t="n">
        <v>50329113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2" customHeight="1">
      <c r="A1" s="1" t="inlineStr">
        <is>
          <t>NSE FAO — Raw Option Chain Data</t>
        </is>
      </c>
    </row>
    <row r="2" ht="16" customHeight="1">
      <c r="A2" s="7" t="inlineStr"/>
      <c r="C2" s="8" t="inlineStr">
        <is>
          <t>CALLS</t>
        </is>
      </c>
      <c r="D2" s="9" t="n"/>
      <c r="E2" s="9" t="n"/>
      <c r="F2" s="9" t="n"/>
      <c r="G2" s="9" t="n"/>
      <c r="H2" s="9" t="n"/>
      <c r="I2" s="9" t="n"/>
      <c r="J2" s="10" t="inlineStr">
        <is>
          <t>PUTS</t>
        </is>
      </c>
      <c r="K2" s="11" t="n"/>
      <c r="L2" s="11" t="n"/>
      <c r="M2" s="11" t="n"/>
      <c r="N2" s="11" t="n"/>
    </row>
    <row r="3" ht="28" customHeight="1">
      <c r="A3" s="2" t="inlineStr">
        <is>
          <t>Date</t>
        </is>
      </c>
      <c r="B3" s="2" t="inlineStr">
        <is>
          <t>Strike</t>
        </is>
      </c>
      <c r="C3" s="12" t="inlineStr">
        <is>
          <t>Call OI</t>
        </is>
      </c>
      <c r="D3" s="12" t="inlineStr">
        <is>
          <t>Call ΔOI</t>
        </is>
      </c>
      <c r="E3" s="12" t="inlineStr">
        <is>
          <t>Call Vol</t>
        </is>
      </c>
      <c r="F3" s="12" t="inlineStr">
        <is>
          <t>Call IV</t>
        </is>
      </c>
      <c r="G3" s="12" t="inlineStr">
        <is>
          <t>Call LTP</t>
        </is>
      </c>
      <c r="H3" s="12" t="inlineStr">
        <is>
          <t>Call Chng</t>
        </is>
      </c>
      <c r="I3" s="12" t="inlineStr">
        <is>
          <t>Put OI</t>
        </is>
      </c>
      <c r="J3" s="13" t="inlineStr">
        <is>
          <t>Put ΔOI</t>
        </is>
      </c>
      <c r="K3" s="13" t="inlineStr">
        <is>
          <t>Put Vol</t>
        </is>
      </c>
      <c r="L3" s="13" t="inlineStr">
        <is>
          <t>Put IV</t>
        </is>
      </c>
      <c r="M3" s="13" t="inlineStr">
        <is>
          <t>Put LTP</t>
        </is>
      </c>
      <c r="N3" s="13" t="inlineStr">
        <is>
          <t>Put Chng</t>
        </is>
      </c>
    </row>
    <row r="4" ht="14" customHeight="1">
      <c r="A4" s="14" t="inlineStr">
        <is>
          <t>Jul 03 2026</t>
        </is>
      </c>
    </row>
    <row r="5" ht="13" customHeight="1">
      <c r="A5" s="15" t="inlineStr">
        <is>
          <t>Jul 03 2026</t>
        </is>
      </c>
      <c r="B5" s="6" t="n">
        <v>21350</v>
      </c>
      <c r="C5" s="6" t="n">
        <v>2</v>
      </c>
      <c r="D5" s="6" t="n">
        <v>0</v>
      </c>
      <c r="E5" s="6" t="n">
        <v>0</v>
      </c>
      <c r="F5" s="15" t="n"/>
      <c r="G5" s="16" t="n">
        <v>2825</v>
      </c>
      <c r="H5" s="15" t="n"/>
      <c r="I5" s="6" t="n">
        <v>30222</v>
      </c>
      <c r="J5" s="6" t="n">
        <v>-2197</v>
      </c>
      <c r="K5" s="6" t="n">
        <v>50593</v>
      </c>
      <c r="L5" s="16" t="n">
        <v>40.94</v>
      </c>
      <c r="M5" s="16" t="n">
        <v>0.35</v>
      </c>
      <c r="N5" s="16" t="n">
        <v>-0.55</v>
      </c>
    </row>
    <row r="6" ht="13" customHeight="1">
      <c r="A6" s="17" t="inlineStr">
        <is>
          <t>Jul 03 2026</t>
        </is>
      </c>
      <c r="B6" s="4" t="n">
        <v>21400</v>
      </c>
      <c r="C6" s="4" t="n">
        <v>0</v>
      </c>
      <c r="D6" s="4" t="n">
        <v>0</v>
      </c>
      <c r="E6" s="4" t="n">
        <v>0</v>
      </c>
      <c r="F6" s="17" t="n"/>
      <c r="G6" s="17" t="n"/>
      <c r="H6" s="17" t="n"/>
      <c r="I6" s="4" t="n">
        <v>15754</v>
      </c>
      <c r="J6" s="4" t="n">
        <v>1234</v>
      </c>
      <c r="K6" s="4" t="n">
        <v>35997</v>
      </c>
      <c r="L6" s="18" t="n">
        <v>40.26</v>
      </c>
      <c r="M6" s="18" t="n">
        <v>0.35</v>
      </c>
      <c r="N6" s="18" t="n">
        <v>-0.5</v>
      </c>
    </row>
    <row r="7" ht="13" customHeight="1">
      <c r="A7" s="15" t="inlineStr">
        <is>
          <t>Jul 03 2026</t>
        </is>
      </c>
      <c r="B7" s="6" t="n">
        <v>21450</v>
      </c>
      <c r="C7" s="6" t="n">
        <v>0</v>
      </c>
      <c r="D7" s="6" t="n">
        <v>0</v>
      </c>
      <c r="E7" s="6" t="n">
        <v>0</v>
      </c>
      <c r="F7" s="15" t="n"/>
      <c r="G7" s="15" t="n"/>
      <c r="H7" s="15" t="n"/>
      <c r="I7" s="6" t="n">
        <v>869</v>
      </c>
      <c r="J7" s="6" t="n">
        <v>450</v>
      </c>
      <c r="K7" s="6" t="n">
        <v>2798</v>
      </c>
      <c r="L7" s="16" t="n">
        <v>40.45</v>
      </c>
      <c r="M7" s="16" t="n">
        <v>0.45</v>
      </c>
      <c r="N7" s="16" t="n">
        <v>-0.55</v>
      </c>
    </row>
    <row r="8" ht="13" customHeight="1">
      <c r="A8" s="17" t="inlineStr">
        <is>
          <t>Jul 03 2026</t>
        </is>
      </c>
      <c r="B8" s="4" t="n">
        <v>21500</v>
      </c>
      <c r="C8" s="4" t="n">
        <v>21</v>
      </c>
      <c r="D8" s="4" t="n">
        <v>0</v>
      </c>
      <c r="E8" s="4" t="n">
        <v>0</v>
      </c>
      <c r="F8" s="18" t="n">
        <v>63.34</v>
      </c>
      <c r="G8" s="18" t="n">
        <v>2483.7</v>
      </c>
      <c r="H8" s="17" t="n"/>
      <c r="I8" s="4" t="n">
        <v>30095</v>
      </c>
      <c r="J8" s="4" t="n">
        <v>-12871</v>
      </c>
      <c r="K8" s="4" t="n">
        <v>133479</v>
      </c>
      <c r="L8" s="18" t="n">
        <v>38.9</v>
      </c>
      <c r="M8" s="18" t="n">
        <v>0.35</v>
      </c>
      <c r="N8" s="18" t="n">
        <v>-0.7</v>
      </c>
    </row>
    <row r="9" ht="13" customHeight="1">
      <c r="A9" s="15" t="inlineStr">
        <is>
          <t>Jul 03 2026</t>
        </is>
      </c>
      <c r="B9" s="6" t="n">
        <v>21550</v>
      </c>
      <c r="C9" s="6" t="n">
        <v>0</v>
      </c>
      <c r="D9" s="6" t="n">
        <v>0</v>
      </c>
      <c r="E9" s="6" t="n">
        <v>0</v>
      </c>
      <c r="F9" s="15" t="n"/>
      <c r="G9" s="15" t="n"/>
      <c r="H9" s="15" t="n"/>
      <c r="I9" s="6" t="n">
        <v>1029</v>
      </c>
      <c r="J9" s="6" t="n">
        <v>631</v>
      </c>
      <c r="K9" s="6" t="n">
        <v>2560</v>
      </c>
      <c r="L9" s="16" t="n">
        <v>38.66</v>
      </c>
      <c r="M9" s="16" t="n">
        <v>0.4</v>
      </c>
      <c r="N9" s="16" t="n">
        <v>-0.55</v>
      </c>
    </row>
    <row r="10" ht="13" customHeight="1">
      <c r="A10" s="17" t="inlineStr">
        <is>
          <t>Jul 03 2026</t>
        </is>
      </c>
      <c r="B10" s="4" t="n">
        <v>21600</v>
      </c>
      <c r="C10" s="4" t="n">
        <v>0</v>
      </c>
      <c r="D10" s="4" t="n">
        <v>0</v>
      </c>
      <c r="E10" s="4" t="n">
        <v>0</v>
      </c>
      <c r="F10" s="17" t="n"/>
      <c r="G10" s="17" t="n"/>
      <c r="H10" s="17" t="n"/>
      <c r="I10" s="4" t="n">
        <v>3051</v>
      </c>
      <c r="J10" s="4" t="n">
        <v>1314</v>
      </c>
      <c r="K10" s="4" t="n">
        <v>14345</v>
      </c>
      <c r="L10" s="18" t="n">
        <v>37.98</v>
      </c>
      <c r="M10" s="18" t="n">
        <v>0.4</v>
      </c>
      <c r="N10" s="18" t="n">
        <v>-0.65</v>
      </c>
    </row>
    <row r="11" ht="13" customHeight="1">
      <c r="A11" s="15" t="inlineStr">
        <is>
          <t>Jul 03 2026</t>
        </is>
      </c>
      <c r="B11" s="6" t="n">
        <v>21650</v>
      </c>
      <c r="C11" s="6" t="n">
        <v>0</v>
      </c>
      <c r="D11" s="6" t="n">
        <v>0</v>
      </c>
      <c r="E11" s="6" t="n">
        <v>0</v>
      </c>
      <c r="F11" s="15" t="n"/>
      <c r="G11" s="15" t="n"/>
      <c r="H11" s="15" t="n"/>
      <c r="I11" s="6" t="n">
        <v>754</v>
      </c>
      <c r="J11" s="6" t="n">
        <v>-360</v>
      </c>
      <c r="K11" s="6" t="n">
        <v>9210</v>
      </c>
      <c r="L11" s="16" t="n">
        <v>37.29</v>
      </c>
      <c r="M11" s="16" t="n">
        <v>0.4</v>
      </c>
      <c r="N11" s="16" t="n">
        <v>-0.65</v>
      </c>
    </row>
    <row r="12" ht="13" customHeight="1">
      <c r="A12" s="17" t="inlineStr">
        <is>
          <t>Jul 03 2026</t>
        </is>
      </c>
      <c r="B12" s="4" t="n">
        <v>21700</v>
      </c>
      <c r="C12" s="4" t="n">
        <v>0</v>
      </c>
      <c r="D12" s="4" t="n">
        <v>0</v>
      </c>
      <c r="E12" s="4" t="n">
        <v>0</v>
      </c>
      <c r="F12" s="17" t="n"/>
      <c r="G12" s="17" t="n"/>
      <c r="H12" s="17" t="n"/>
      <c r="I12" s="4" t="n">
        <v>1847</v>
      </c>
      <c r="J12" s="4" t="n">
        <v>-1268</v>
      </c>
      <c r="K12" s="4" t="n">
        <v>16926</v>
      </c>
      <c r="L12" s="18" t="n">
        <v>36.61</v>
      </c>
      <c r="M12" s="18" t="n">
        <v>0.4</v>
      </c>
      <c r="N12" s="18" t="n">
        <v>-0.65</v>
      </c>
    </row>
    <row r="13" ht="13" customHeight="1">
      <c r="A13" s="15" t="inlineStr">
        <is>
          <t>Jul 03 2026</t>
        </is>
      </c>
      <c r="B13" s="6" t="n">
        <v>21750</v>
      </c>
      <c r="C13" s="6" t="n">
        <v>0</v>
      </c>
      <c r="D13" s="6" t="n">
        <v>0</v>
      </c>
      <c r="E13" s="6" t="n">
        <v>0</v>
      </c>
      <c r="F13" s="15" t="n"/>
      <c r="G13" s="15" t="n"/>
      <c r="H13" s="15" t="n"/>
      <c r="I13" s="6" t="n">
        <v>560</v>
      </c>
      <c r="J13" s="6" t="n">
        <v>-84</v>
      </c>
      <c r="K13" s="6" t="n">
        <v>2295</v>
      </c>
      <c r="L13" s="16" t="n">
        <v>36.66</v>
      </c>
      <c r="M13" s="16" t="n">
        <v>0.5</v>
      </c>
      <c r="N13" s="16" t="n">
        <v>-0.6</v>
      </c>
    </row>
    <row r="14" ht="13" customHeight="1">
      <c r="A14" s="17" t="inlineStr">
        <is>
          <t>Jul 03 2026</t>
        </is>
      </c>
      <c r="B14" s="4" t="n">
        <v>21800</v>
      </c>
      <c r="C14" s="4" t="n">
        <v>0</v>
      </c>
      <c r="D14" s="4" t="n">
        <v>0</v>
      </c>
      <c r="E14" s="4" t="n">
        <v>0</v>
      </c>
      <c r="F14" s="17" t="n"/>
      <c r="G14" s="17" t="n"/>
      <c r="H14" s="17" t="n"/>
      <c r="I14" s="4" t="n">
        <v>8633</v>
      </c>
      <c r="J14" s="4" t="n">
        <v>-3492</v>
      </c>
      <c r="K14" s="4" t="n">
        <v>49147</v>
      </c>
      <c r="L14" s="18" t="n">
        <v>35.62</v>
      </c>
      <c r="M14" s="18" t="n">
        <v>0.45</v>
      </c>
      <c r="N14" s="18" t="n">
        <v>-0.7</v>
      </c>
    </row>
    <row r="15" ht="13" customHeight="1">
      <c r="A15" s="15" t="inlineStr">
        <is>
          <t>Jul 03 2026</t>
        </is>
      </c>
      <c r="B15" s="6" t="n">
        <v>21850</v>
      </c>
      <c r="C15" s="6" t="n">
        <v>0</v>
      </c>
      <c r="D15" s="6" t="n">
        <v>0</v>
      </c>
      <c r="E15" s="6" t="n">
        <v>0</v>
      </c>
      <c r="F15" s="15" t="n"/>
      <c r="G15" s="15" t="n"/>
      <c r="H15" s="15" t="n"/>
      <c r="I15" s="6" t="n">
        <v>845</v>
      </c>
      <c r="J15" s="6" t="n">
        <v>197</v>
      </c>
      <c r="K15" s="6" t="n">
        <v>2675</v>
      </c>
      <c r="L15" s="16" t="n">
        <v>34.93</v>
      </c>
      <c r="M15" s="16" t="n">
        <v>0.45</v>
      </c>
      <c r="N15" s="16" t="n">
        <v>-0.65</v>
      </c>
    </row>
    <row r="16" ht="13" customHeight="1">
      <c r="A16" s="17" t="inlineStr">
        <is>
          <t>Jul 03 2026</t>
        </is>
      </c>
      <c r="B16" s="4" t="n">
        <v>21900</v>
      </c>
      <c r="C16" s="4" t="n">
        <v>0</v>
      </c>
      <c r="D16" s="4" t="n">
        <v>0</v>
      </c>
      <c r="E16" s="4" t="n">
        <v>0</v>
      </c>
      <c r="F16" s="17" t="n"/>
      <c r="G16" s="17" t="n"/>
      <c r="H16" s="17" t="n"/>
      <c r="I16" s="4" t="n">
        <v>4850</v>
      </c>
      <c r="J16" s="4" t="n">
        <v>708</v>
      </c>
      <c r="K16" s="4" t="n">
        <v>20090</v>
      </c>
      <c r="L16" s="18" t="n">
        <v>34.24</v>
      </c>
      <c r="M16" s="18" t="n">
        <v>0.45</v>
      </c>
      <c r="N16" s="18" t="n">
        <v>-0.8</v>
      </c>
    </row>
    <row r="17" ht="13" customHeight="1">
      <c r="A17" s="15" t="inlineStr">
        <is>
          <t>Jul 03 2026</t>
        </is>
      </c>
      <c r="B17" s="6" t="n">
        <v>21950</v>
      </c>
      <c r="C17" s="6" t="n">
        <v>0</v>
      </c>
      <c r="D17" s="6" t="n">
        <v>0</v>
      </c>
      <c r="E17" s="6" t="n">
        <v>0</v>
      </c>
      <c r="F17" s="15" t="n"/>
      <c r="G17" s="15" t="n"/>
      <c r="H17" s="15" t="n"/>
      <c r="I17" s="6" t="n">
        <v>3494</v>
      </c>
      <c r="J17" s="6" t="n">
        <v>1010</v>
      </c>
      <c r="K17" s="6" t="n">
        <v>20065</v>
      </c>
      <c r="L17" s="16" t="n">
        <v>33.88</v>
      </c>
      <c r="M17" s="16" t="n">
        <v>0.5</v>
      </c>
      <c r="N17" s="16" t="n">
        <v>-0.75</v>
      </c>
    </row>
    <row r="18" ht="13" customHeight="1">
      <c r="A18" s="17" t="inlineStr">
        <is>
          <t>Jul 03 2026</t>
        </is>
      </c>
      <c r="B18" s="4" t="n">
        <v>22000</v>
      </c>
      <c r="C18" s="4" t="n">
        <v>80</v>
      </c>
      <c r="D18" s="4" t="n">
        <v>5</v>
      </c>
      <c r="E18" s="4" t="n">
        <v>34</v>
      </c>
      <c r="F18" s="17" t="n"/>
      <c r="G18" s="18" t="n">
        <v>2279.7</v>
      </c>
      <c r="H18" s="18" t="n">
        <v>78</v>
      </c>
      <c r="I18" s="4" t="n">
        <v>66035</v>
      </c>
      <c r="J18" s="4" t="n">
        <v>-40399</v>
      </c>
      <c r="K18" s="4" t="n">
        <v>247033</v>
      </c>
      <c r="L18" s="18" t="n">
        <v>32.87</v>
      </c>
      <c r="M18" s="18" t="n">
        <v>0.45</v>
      </c>
      <c r="N18" s="18" t="n">
        <v>-0.85</v>
      </c>
    </row>
    <row r="19" ht="13" customHeight="1">
      <c r="A19" s="15" t="inlineStr">
        <is>
          <t>Jul 03 2026</t>
        </is>
      </c>
      <c r="B19" s="6" t="n">
        <v>22050</v>
      </c>
      <c r="C19" s="6" t="n">
        <v>0</v>
      </c>
      <c r="D19" s="6" t="n">
        <v>0</v>
      </c>
      <c r="E19" s="6" t="n">
        <v>0</v>
      </c>
      <c r="F19" s="15" t="n"/>
      <c r="G19" s="15" t="n"/>
      <c r="H19" s="15" t="n"/>
      <c r="I19" s="6" t="n">
        <v>3365</v>
      </c>
      <c r="J19" s="6" t="n">
        <v>985</v>
      </c>
      <c r="K19" s="6" t="n">
        <v>21195</v>
      </c>
      <c r="L19" s="16" t="n">
        <v>32.18</v>
      </c>
      <c r="M19" s="16" t="n">
        <v>0.45</v>
      </c>
      <c r="N19" s="16" t="n">
        <v>-0.9</v>
      </c>
    </row>
    <row r="20" ht="13" customHeight="1">
      <c r="A20" s="17" t="inlineStr">
        <is>
          <t>Jul 03 2026</t>
        </is>
      </c>
      <c r="B20" s="4" t="n">
        <v>22100</v>
      </c>
      <c r="C20" s="4" t="n">
        <v>0</v>
      </c>
      <c r="D20" s="4" t="n">
        <v>0</v>
      </c>
      <c r="E20" s="4" t="n">
        <v>0</v>
      </c>
      <c r="F20" s="17" t="n"/>
      <c r="G20" s="17" t="n"/>
      <c r="H20" s="17" t="n"/>
      <c r="I20" s="4" t="n">
        <v>6071</v>
      </c>
      <c r="J20" s="4" t="n">
        <v>1606</v>
      </c>
      <c r="K20" s="4" t="n">
        <v>30396</v>
      </c>
      <c r="L20" s="18" t="n">
        <v>32.09</v>
      </c>
      <c r="M20" s="18" t="n">
        <v>0.55</v>
      </c>
      <c r="N20" s="18" t="n">
        <v>-0.7</v>
      </c>
    </row>
    <row r="21" ht="13" customHeight="1">
      <c r="A21" s="15" t="inlineStr">
        <is>
          <t>Jul 03 2026</t>
        </is>
      </c>
      <c r="B21" s="6" t="n">
        <v>22150</v>
      </c>
      <c r="C21" s="6" t="n">
        <v>0</v>
      </c>
      <c r="D21" s="6" t="n">
        <v>0</v>
      </c>
      <c r="E21" s="6" t="n">
        <v>0</v>
      </c>
      <c r="F21" s="15" t="n"/>
      <c r="G21" s="15" t="n"/>
      <c r="H21" s="15" t="n"/>
      <c r="I21" s="6" t="n">
        <v>3785</v>
      </c>
      <c r="J21" s="6" t="n">
        <v>2209</v>
      </c>
      <c r="K21" s="6" t="n">
        <v>17399</v>
      </c>
      <c r="L21" s="16" t="n">
        <v>31.11</v>
      </c>
      <c r="M21" s="16" t="n">
        <v>0.5</v>
      </c>
      <c r="N21" s="16" t="n">
        <v>-0.85</v>
      </c>
    </row>
    <row r="22" ht="13" customHeight="1">
      <c r="A22" s="17" t="inlineStr">
        <is>
          <t>Jul 03 2026</t>
        </is>
      </c>
      <c r="B22" s="4" t="n">
        <v>22200</v>
      </c>
      <c r="C22" s="4" t="n">
        <v>1</v>
      </c>
      <c r="D22" s="4" t="n">
        <v>0</v>
      </c>
      <c r="E22" s="4" t="n">
        <v>1</v>
      </c>
      <c r="F22" s="18" t="n">
        <v>61.6</v>
      </c>
      <c r="G22" s="18" t="n">
        <v>2150</v>
      </c>
      <c r="H22" s="18" t="n">
        <v>357.5</v>
      </c>
      <c r="I22" s="4" t="n">
        <v>10635</v>
      </c>
      <c r="J22" s="4" t="n">
        <v>741</v>
      </c>
      <c r="K22" s="4" t="n">
        <v>45118</v>
      </c>
      <c r="L22" s="18" t="n">
        <v>30.7</v>
      </c>
      <c r="M22" s="18" t="n">
        <v>0.55</v>
      </c>
      <c r="N22" s="18" t="n">
        <v>-0.9</v>
      </c>
    </row>
    <row r="23" ht="13" customHeight="1">
      <c r="A23" s="15" t="inlineStr">
        <is>
          <t>Jul 03 2026</t>
        </is>
      </c>
      <c r="B23" s="6" t="n">
        <v>22250</v>
      </c>
      <c r="C23" s="6" t="n">
        <v>0</v>
      </c>
      <c r="D23" s="6" t="n">
        <v>0</v>
      </c>
      <c r="E23" s="6" t="n">
        <v>0</v>
      </c>
      <c r="F23" s="15" t="n"/>
      <c r="G23" s="15" t="n"/>
      <c r="H23" s="15" t="n"/>
      <c r="I23" s="6" t="n">
        <v>4090</v>
      </c>
      <c r="J23" s="6" t="n">
        <v>2523</v>
      </c>
      <c r="K23" s="6" t="n">
        <v>23612</v>
      </c>
      <c r="L23" s="16" t="n">
        <v>30</v>
      </c>
      <c r="M23" s="16" t="n">
        <v>0.55</v>
      </c>
      <c r="N23" s="16" t="n">
        <v>-0.9</v>
      </c>
    </row>
    <row r="24" ht="13" customHeight="1">
      <c r="A24" s="17" t="inlineStr">
        <is>
          <t>Jul 03 2026</t>
        </is>
      </c>
      <c r="B24" s="4" t="n">
        <v>22300</v>
      </c>
      <c r="C24" s="4" t="n">
        <v>1</v>
      </c>
      <c r="D24" s="4" t="n">
        <v>0</v>
      </c>
      <c r="E24" s="4" t="n">
        <v>0</v>
      </c>
      <c r="F24" s="17" t="n"/>
      <c r="G24" s="18" t="n">
        <v>1592.85</v>
      </c>
      <c r="H24" s="17" t="n"/>
      <c r="I24" s="4" t="n">
        <v>13921</v>
      </c>
      <c r="J24" s="4" t="n">
        <v>2164</v>
      </c>
      <c r="K24" s="4" t="n">
        <v>62450</v>
      </c>
      <c r="L24" s="18" t="n">
        <v>29.56</v>
      </c>
      <c r="M24" s="18" t="n">
        <v>0.6</v>
      </c>
      <c r="N24" s="18" t="n">
        <v>-0.8</v>
      </c>
    </row>
    <row r="25" ht="13" customHeight="1">
      <c r="A25" s="15" t="inlineStr">
        <is>
          <t>Jul 03 2026</t>
        </is>
      </c>
      <c r="B25" s="6" t="n">
        <v>22350</v>
      </c>
      <c r="C25" s="6" t="n">
        <v>0</v>
      </c>
      <c r="D25" s="6" t="n">
        <v>0</v>
      </c>
      <c r="E25" s="6" t="n">
        <v>0</v>
      </c>
      <c r="F25" s="15" t="n"/>
      <c r="G25" s="15" t="n"/>
      <c r="H25" s="15" t="n"/>
      <c r="I25" s="6" t="n">
        <v>2317</v>
      </c>
      <c r="J25" s="6" t="n">
        <v>-308</v>
      </c>
      <c r="K25" s="6" t="n">
        <v>12883</v>
      </c>
      <c r="L25" s="16" t="n">
        <v>28.86</v>
      </c>
      <c r="M25" s="16" t="n">
        <v>0.6</v>
      </c>
      <c r="N25" s="16" t="n">
        <v>-0.85</v>
      </c>
    </row>
    <row r="26" ht="13" customHeight="1">
      <c r="A26" s="17" t="inlineStr">
        <is>
          <t>Jul 03 2026</t>
        </is>
      </c>
      <c r="B26" s="4" t="n">
        <v>22400</v>
      </c>
      <c r="C26" s="4" t="n">
        <v>0</v>
      </c>
      <c r="D26" s="4" t="n">
        <v>0</v>
      </c>
      <c r="E26" s="4" t="n">
        <v>0</v>
      </c>
      <c r="F26" s="17" t="n"/>
      <c r="G26" s="17" t="n"/>
      <c r="H26" s="17" t="n"/>
      <c r="I26" s="4" t="n">
        <v>9603</v>
      </c>
      <c r="J26" s="4" t="n">
        <v>-700</v>
      </c>
      <c r="K26" s="4" t="n">
        <v>40214</v>
      </c>
      <c r="L26" s="18" t="n">
        <v>28.16</v>
      </c>
      <c r="M26" s="18" t="n">
        <v>0.6</v>
      </c>
      <c r="N26" s="18" t="n">
        <v>-0.85</v>
      </c>
    </row>
    <row r="27" ht="13" customHeight="1">
      <c r="A27" s="15" t="inlineStr">
        <is>
          <t>Jul 03 2026</t>
        </is>
      </c>
      <c r="B27" s="6" t="n">
        <v>22450</v>
      </c>
      <c r="C27" s="6" t="n">
        <v>1</v>
      </c>
      <c r="D27" s="6" t="n">
        <v>0</v>
      </c>
      <c r="E27" s="6" t="n">
        <v>0</v>
      </c>
      <c r="F27" s="16" t="n">
        <v>59.88</v>
      </c>
      <c r="G27" s="16" t="n">
        <v>1728.4</v>
      </c>
      <c r="H27" s="15" t="n"/>
      <c r="I27" s="6" t="n">
        <v>2730</v>
      </c>
      <c r="J27" s="6" t="n">
        <v>176</v>
      </c>
      <c r="K27" s="6" t="n">
        <v>16767</v>
      </c>
      <c r="L27" s="16" t="n">
        <v>27.46</v>
      </c>
      <c r="M27" s="16" t="n">
        <v>0.6</v>
      </c>
      <c r="N27" s="16" t="n">
        <v>-1</v>
      </c>
    </row>
    <row r="28" ht="13" customHeight="1">
      <c r="A28" s="17" t="inlineStr">
        <is>
          <t>Jul 03 2026</t>
        </is>
      </c>
      <c r="B28" s="4" t="n">
        <v>22500</v>
      </c>
      <c r="C28" s="4" t="n">
        <v>239</v>
      </c>
      <c r="D28" s="4" t="n">
        <v>-8</v>
      </c>
      <c r="E28" s="4" t="n">
        <v>37</v>
      </c>
      <c r="F28" s="17" t="n"/>
      <c r="G28" s="18" t="n">
        <v>1783.45</v>
      </c>
      <c r="H28" s="18" t="n">
        <v>176.3</v>
      </c>
      <c r="I28" s="4" t="n">
        <v>65654</v>
      </c>
      <c r="J28" s="4" t="n">
        <v>2658</v>
      </c>
      <c r="K28" s="4" t="n">
        <v>230782</v>
      </c>
      <c r="L28" s="18" t="n">
        <v>26.97</v>
      </c>
      <c r="M28" s="18" t="n">
        <v>0.65</v>
      </c>
      <c r="N28" s="18" t="n">
        <v>-1</v>
      </c>
    </row>
    <row r="29" ht="13" customHeight="1">
      <c r="A29" s="15" t="inlineStr">
        <is>
          <t>Jul 03 2026</t>
        </is>
      </c>
      <c r="B29" s="6" t="n">
        <v>22550</v>
      </c>
      <c r="C29" s="6" t="n">
        <v>0</v>
      </c>
      <c r="D29" s="6" t="n">
        <v>0</v>
      </c>
      <c r="E29" s="6" t="n">
        <v>0</v>
      </c>
      <c r="F29" s="15" t="n"/>
      <c r="G29" s="15" t="n"/>
      <c r="H29" s="15" t="n"/>
      <c r="I29" s="6" t="n">
        <v>5831</v>
      </c>
      <c r="J29" s="6" t="n">
        <v>1517</v>
      </c>
      <c r="K29" s="6" t="n">
        <v>31354</v>
      </c>
      <c r="L29" s="16" t="n">
        <v>26.83</v>
      </c>
      <c r="M29" s="16" t="n">
        <v>0.8</v>
      </c>
      <c r="N29" s="16" t="n">
        <v>-0.9</v>
      </c>
    </row>
    <row r="30" ht="13" customHeight="1">
      <c r="A30" s="17" t="inlineStr">
        <is>
          <t>Jul 03 2026</t>
        </is>
      </c>
      <c r="B30" s="4" t="n">
        <v>22600</v>
      </c>
      <c r="C30" s="4" t="n">
        <v>2</v>
      </c>
      <c r="D30" s="4" t="n">
        <v>1</v>
      </c>
      <c r="E30" s="4" t="n">
        <v>2</v>
      </c>
      <c r="F30" s="17" t="n"/>
      <c r="G30" s="18" t="n">
        <v>1680</v>
      </c>
      <c r="H30" s="18" t="n">
        <v>320</v>
      </c>
      <c r="I30" s="4" t="n">
        <v>19885</v>
      </c>
      <c r="J30" s="4" t="n">
        <v>-2074</v>
      </c>
      <c r="K30" s="4" t="n">
        <v>83413</v>
      </c>
      <c r="L30" s="18" t="n">
        <v>25.76</v>
      </c>
      <c r="M30" s="18" t="n">
        <v>0.7</v>
      </c>
      <c r="N30" s="18" t="n">
        <v>-1</v>
      </c>
    </row>
    <row r="31" ht="13" customHeight="1">
      <c r="A31" s="15" t="inlineStr">
        <is>
          <t>Jul 03 2026</t>
        </is>
      </c>
      <c r="B31" s="6" t="n">
        <v>22650</v>
      </c>
      <c r="C31" s="6" t="n">
        <v>1</v>
      </c>
      <c r="D31" s="6" t="n">
        <v>0</v>
      </c>
      <c r="E31" s="6" t="n">
        <v>1</v>
      </c>
      <c r="F31" s="16" t="n">
        <v>36.89</v>
      </c>
      <c r="G31" s="16" t="n">
        <v>1658</v>
      </c>
      <c r="H31" s="16" t="n">
        <v>966</v>
      </c>
      <c r="I31" s="6" t="n">
        <v>9368</v>
      </c>
      <c r="J31" s="6" t="n">
        <v>709</v>
      </c>
      <c r="K31" s="6" t="n">
        <v>37877</v>
      </c>
      <c r="L31" s="16" t="n">
        <v>25.56</v>
      </c>
      <c r="M31" s="16" t="n">
        <v>0.85</v>
      </c>
      <c r="N31" s="16" t="n">
        <v>-1</v>
      </c>
    </row>
    <row r="32" ht="13" customHeight="1">
      <c r="A32" s="17" t="inlineStr">
        <is>
          <t>Jul 03 2026</t>
        </is>
      </c>
      <c r="B32" s="4" t="n">
        <v>22700</v>
      </c>
      <c r="C32" s="4" t="n">
        <v>18</v>
      </c>
      <c r="D32" s="4" t="n">
        <v>0</v>
      </c>
      <c r="E32" s="4" t="n">
        <v>0</v>
      </c>
      <c r="F32" s="18" t="n">
        <v>34.37</v>
      </c>
      <c r="G32" s="18" t="n">
        <v>1263.7</v>
      </c>
      <c r="H32" s="18" t="n">
        <v>5.95</v>
      </c>
      <c r="I32" s="4" t="n">
        <v>14181</v>
      </c>
      <c r="J32" s="4" t="n">
        <v>-4088</v>
      </c>
      <c r="K32" s="4" t="n">
        <v>97859</v>
      </c>
      <c r="L32" s="18" t="n">
        <v>24.84</v>
      </c>
      <c r="M32" s="18" t="n">
        <v>0.85</v>
      </c>
      <c r="N32" s="18" t="n">
        <v>-0.9</v>
      </c>
    </row>
    <row r="33" ht="13" customHeight="1">
      <c r="A33" s="15" t="inlineStr">
        <is>
          <t>Jul 03 2026</t>
        </is>
      </c>
      <c r="B33" s="6" t="n">
        <v>22750</v>
      </c>
      <c r="C33" s="6" t="n">
        <v>0</v>
      </c>
      <c r="D33" s="6" t="n">
        <v>0</v>
      </c>
      <c r="E33" s="6" t="n">
        <v>0</v>
      </c>
      <c r="F33" s="15" t="n"/>
      <c r="G33" s="15" t="n"/>
      <c r="H33" s="15" t="n"/>
      <c r="I33" s="6" t="n">
        <v>8548</v>
      </c>
      <c r="J33" s="6" t="n">
        <v>-5710</v>
      </c>
      <c r="K33" s="6" t="n">
        <v>56941</v>
      </c>
      <c r="L33" s="16" t="n">
        <v>24.12</v>
      </c>
      <c r="M33" s="16" t="n">
        <v>0.85</v>
      </c>
      <c r="N33" s="16" t="n">
        <v>-1.1</v>
      </c>
    </row>
    <row r="34" ht="13" customHeight="1">
      <c r="A34" s="17" t="inlineStr">
        <is>
          <t>Jul 03 2026</t>
        </is>
      </c>
      <c r="B34" s="4" t="n">
        <v>22800</v>
      </c>
      <c r="C34" s="4" t="n">
        <v>210</v>
      </c>
      <c r="D34" s="4" t="n">
        <v>-1</v>
      </c>
      <c r="E34" s="4" t="n">
        <v>13</v>
      </c>
      <c r="F34" s="17" t="n"/>
      <c r="G34" s="18" t="n">
        <v>1475.05</v>
      </c>
      <c r="H34" s="18" t="n">
        <v>122.8</v>
      </c>
      <c r="I34" s="4" t="n">
        <v>41399</v>
      </c>
      <c r="J34" s="4" t="n">
        <v>-6517</v>
      </c>
      <c r="K34" s="4" t="n">
        <v>202391</v>
      </c>
      <c r="L34" s="18" t="n">
        <v>23.4</v>
      </c>
      <c r="M34" s="18" t="n">
        <v>0.85</v>
      </c>
      <c r="N34" s="18" t="n">
        <v>-1.05</v>
      </c>
    </row>
    <row r="35" ht="13" customHeight="1">
      <c r="A35" s="15" t="inlineStr">
        <is>
          <t>Jul 03 2026</t>
        </is>
      </c>
      <c r="B35" s="6" t="n">
        <v>22850</v>
      </c>
      <c r="C35" s="6" t="n">
        <v>14</v>
      </c>
      <c r="D35" s="6" t="n">
        <v>0</v>
      </c>
      <c r="E35" s="6" t="n">
        <v>0</v>
      </c>
      <c r="F35" s="15" t="n"/>
      <c r="G35" s="16" t="n">
        <v>1338.95</v>
      </c>
      <c r="H35" s="15" t="n"/>
      <c r="I35" s="6" t="n">
        <v>13646</v>
      </c>
      <c r="J35" s="6" t="n">
        <v>2861</v>
      </c>
      <c r="K35" s="6" t="n">
        <v>60851</v>
      </c>
      <c r="L35" s="16" t="n">
        <v>22.81</v>
      </c>
      <c r="M35" s="16" t="n">
        <v>0.9</v>
      </c>
      <c r="N35" s="16" t="n">
        <v>-1.25</v>
      </c>
    </row>
    <row r="36" ht="13" customHeight="1">
      <c r="A36" s="17" t="inlineStr">
        <is>
          <t>Jul 03 2026</t>
        </is>
      </c>
      <c r="B36" s="4" t="n">
        <v>22900</v>
      </c>
      <c r="C36" s="4" t="n">
        <v>649</v>
      </c>
      <c r="D36" s="4" t="n">
        <v>-1</v>
      </c>
      <c r="E36" s="4" t="n">
        <v>14</v>
      </c>
      <c r="F36" s="17" t="n"/>
      <c r="G36" s="18" t="n">
        <v>1383.25</v>
      </c>
      <c r="H36" s="18" t="n">
        <v>83.7</v>
      </c>
      <c r="I36" s="4" t="n">
        <v>42371</v>
      </c>
      <c r="J36" s="4" t="n">
        <v>-3138</v>
      </c>
      <c r="K36" s="4" t="n">
        <v>237820</v>
      </c>
      <c r="L36" s="18" t="n">
        <v>22.47</v>
      </c>
      <c r="M36" s="18" t="n">
        <v>1.05</v>
      </c>
      <c r="N36" s="18" t="n">
        <v>-1.05</v>
      </c>
    </row>
    <row r="37" ht="13" customHeight="1">
      <c r="A37" s="15" t="inlineStr">
        <is>
          <t>Jul 03 2026</t>
        </is>
      </c>
      <c r="B37" s="6" t="n">
        <v>22950</v>
      </c>
      <c r="C37" s="6" t="n">
        <v>6</v>
      </c>
      <c r="D37" s="6" t="n">
        <v>0</v>
      </c>
      <c r="E37" s="6" t="n">
        <v>0</v>
      </c>
      <c r="F37" s="16" t="n">
        <v>24.31</v>
      </c>
      <c r="G37" s="16" t="n">
        <v>1254.85</v>
      </c>
      <c r="H37" s="15" t="n"/>
      <c r="I37" s="6" t="n">
        <v>14086</v>
      </c>
      <c r="J37" s="6" t="n">
        <v>809</v>
      </c>
      <c r="K37" s="6" t="n">
        <v>75087</v>
      </c>
      <c r="L37" s="16" t="n">
        <v>21.73</v>
      </c>
      <c r="M37" s="16" t="n">
        <v>1.05</v>
      </c>
      <c r="N37" s="16" t="n">
        <v>-1.25</v>
      </c>
    </row>
    <row r="38" ht="13" customHeight="1">
      <c r="A38" s="17" t="inlineStr">
        <is>
          <t>Jul 03 2026</t>
        </is>
      </c>
      <c r="B38" s="4" t="n">
        <v>23000</v>
      </c>
      <c r="C38" s="4" t="n">
        <v>2727</v>
      </c>
      <c r="D38" s="4" t="n">
        <v>-107</v>
      </c>
      <c r="E38" s="4" t="n">
        <v>683</v>
      </c>
      <c r="F38" s="17" t="n"/>
      <c r="G38" s="18" t="n">
        <v>1285.95</v>
      </c>
      <c r="H38" s="18" t="n">
        <v>93.15000000000001</v>
      </c>
      <c r="I38" s="4" t="n">
        <v>136789</v>
      </c>
      <c r="J38" s="4" t="n">
        <v>14795</v>
      </c>
      <c r="K38" s="4" t="n">
        <v>677815</v>
      </c>
      <c r="L38" s="18" t="n">
        <v>21.22</v>
      </c>
      <c r="M38" s="18" t="n">
        <v>1.15</v>
      </c>
      <c r="N38" s="18" t="n">
        <v>-1.15</v>
      </c>
    </row>
    <row r="39" ht="13" customHeight="1">
      <c r="A39" s="15" t="inlineStr">
        <is>
          <t>Jul 03 2026</t>
        </is>
      </c>
      <c r="B39" s="6" t="n">
        <v>23050</v>
      </c>
      <c r="C39" s="6" t="n">
        <v>10</v>
      </c>
      <c r="D39" s="6" t="n">
        <v>0</v>
      </c>
      <c r="E39" s="6" t="n">
        <v>0</v>
      </c>
      <c r="F39" s="15" t="n"/>
      <c r="G39" s="16" t="n">
        <v>1050.2</v>
      </c>
      <c r="H39" s="15" t="n"/>
      <c r="I39" s="6" t="n">
        <v>8662</v>
      </c>
      <c r="J39" s="6" t="n">
        <v>-1485</v>
      </c>
      <c r="K39" s="6" t="n">
        <v>72546</v>
      </c>
      <c r="L39" s="16" t="n">
        <v>20.47</v>
      </c>
      <c r="M39" s="16" t="n">
        <v>1.15</v>
      </c>
      <c r="N39" s="16" t="n">
        <v>-1.3</v>
      </c>
    </row>
    <row r="40" ht="13" customHeight="1">
      <c r="A40" s="17" t="inlineStr">
        <is>
          <t>Jul 03 2026</t>
        </is>
      </c>
      <c r="B40" s="4" t="n">
        <v>23100</v>
      </c>
      <c r="C40" s="4" t="n">
        <v>414</v>
      </c>
      <c r="D40" s="4" t="n">
        <v>-102</v>
      </c>
      <c r="E40" s="4" t="n">
        <v>174</v>
      </c>
      <c r="F40" s="17" t="n"/>
      <c r="G40" s="18" t="n">
        <v>1184.1</v>
      </c>
      <c r="H40" s="18" t="n">
        <v>91.95</v>
      </c>
      <c r="I40" s="4" t="n">
        <v>44797</v>
      </c>
      <c r="J40" s="4" t="n">
        <v>2083</v>
      </c>
      <c r="K40" s="4" t="n">
        <v>384566</v>
      </c>
      <c r="L40" s="18" t="n">
        <v>20.28</v>
      </c>
      <c r="M40" s="18" t="n">
        <v>1.45</v>
      </c>
      <c r="N40" s="18" t="n">
        <v>-1.1</v>
      </c>
    </row>
    <row r="41" ht="13" customHeight="1">
      <c r="A41" s="15" t="inlineStr">
        <is>
          <t>Jul 03 2026</t>
        </is>
      </c>
      <c r="B41" s="6" t="n">
        <v>23150</v>
      </c>
      <c r="C41" s="6" t="n">
        <v>40</v>
      </c>
      <c r="D41" s="6" t="n">
        <v>-1</v>
      </c>
      <c r="E41" s="6" t="n">
        <v>2</v>
      </c>
      <c r="F41" s="15" t="n"/>
      <c r="G41" s="16" t="n">
        <v>1131.7</v>
      </c>
      <c r="H41" s="16" t="n">
        <v>64.90000000000001</v>
      </c>
      <c r="I41" s="6" t="n">
        <v>13996</v>
      </c>
      <c r="J41" s="6" t="n">
        <v>410</v>
      </c>
      <c r="K41" s="6" t="n">
        <v>165724</v>
      </c>
      <c r="L41" s="16" t="n">
        <v>19.76</v>
      </c>
      <c r="M41" s="16" t="n">
        <v>1.6</v>
      </c>
      <c r="N41" s="16" t="n">
        <v>-1.1</v>
      </c>
    </row>
    <row r="42" ht="13" customHeight="1">
      <c r="A42" s="17" t="inlineStr">
        <is>
          <t>Jul 03 2026</t>
        </is>
      </c>
      <c r="B42" s="4" t="n">
        <v>23200</v>
      </c>
      <c r="C42" s="4" t="n">
        <v>758</v>
      </c>
      <c r="D42" s="4" t="n">
        <v>-35</v>
      </c>
      <c r="E42" s="4" t="n">
        <v>230</v>
      </c>
      <c r="F42" s="17" t="n"/>
      <c r="G42" s="18" t="n">
        <v>1081.85</v>
      </c>
      <c r="H42" s="18" t="n">
        <v>88.34999999999999</v>
      </c>
      <c r="I42" s="4" t="n">
        <v>77606</v>
      </c>
      <c r="J42" s="4" t="n">
        <v>5918</v>
      </c>
      <c r="K42" s="4" t="n">
        <v>568349</v>
      </c>
      <c r="L42" s="18" t="n">
        <v>19.06</v>
      </c>
      <c r="M42" s="18" t="n">
        <v>1.65</v>
      </c>
      <c r="N42" s="18" t="n">
        <v>-1.15</v>
      </c>
    </row>
    <row r="43" ht="13" customHeight="1">
      <c r="A43" s="15" t="inlineStr">
        <is>
          <t>Jul 03 2026</t>
        </is>
      </c>
      <c r="B43" s="6" t="n">
        <v>23250</v>
      </c>
      <c r="C43" s="6" t="n">
        <v>109</v>
      </c>
      <c r="D43" s="6" t="n">
        <v>1</v>
      </c>
      <c r="E43" s="6" t="n">
        <v>37</v>
      </c>
      <c r="F43" s="15" t="n"/>
      <c r="G43" s="16" t="n">
        <v>1031.95</v>
      </c>
      <c r="H43" s="16" t="n">
        <v>89.95</v>
      </c>
      <c r="I43" s="6" t="n">
        <v>21385</v>
      </c>
      <c r="J43" s="6" t="n">
        <v>-7702</v>
      </c>
      <c r="K43" s="6" t="n">
        <v>248595</v>
      </c>
      <c r="L43" s="16" t="n">
        <v>18.42</v>
      </c>
      <c r="M43" s="16" t="n">
        <v>1.75</v>
      </c>
      <c r="N43" s="16" t="n">
        <v>-1.2</v>
      </c>
    </row>
    <row r="44" ht="13" customHeight="1">
      <c r="A44" s="17" t="inlineStr">
        <is>
          <t>Jul 03 2026</t>
        </is>
      </c>
      <c r="B44" s="4" t="n">
        <v>23300</v>
      </c>
      <c r="C44" s="4" t="n">
        <v>831</v>
      </c>
      <c r="D44" s="4" t="n">
        <v>-215</v>
      </c>
      <c r="E44" s="4" t="n">
        <v>774</v>
      </c>
      <c r="F44" s="17" t="n"/>
      <c r="G44" s="18" t="n">
        <v>985.9</v>
      </c>
      <c r="H44" s="18" t="n">
        <v>91.7</v>
      </c>
      <c r="I44" s="4" t="n">
        <v>86779</v>
      </c>
      <c r="J44" s="4" t="n">
        <v>8623</v>
      </c>
      <c r="K44" s="4" t="n">
        <v>633202</v>
      </c>
      <c r="L44" s="18" t="n">
        <v>17.57</v>
      </c>
      <c r="M44" s="18" t="n">
        <v>1.7</v>
      </c>
      <c r="N44" s="18" t="n">
        <v>-1.5</v>
      </c>
    </row>
    <row r="45" ht="13" customHeight="1">
      <c r="A45" s="15" t="inlineStr">
        <is>
          <t>Jul 03 2026</t>
        </is>
      </c>
      <c r="B45" s="6" t="n">
        <v>23350</v>
      </c>
      <c r="C45" s="6" t="n">
        <v>484</v>
      </c>
      <c r="D45" s="6" t="n">
        <v>8</v>
      </c>
      <c r="E45" s="6" t="n">
        <v>229</v>
      </c>
      <c r="F45" s="15" t="n"/>
      <c r="G45" s="16" t="n">
        <v>936.65</v>
      </c>
      <c r="H45" s="16" t="n">
        <v>97.25</v>
      </c>
      <c r="I45" s="6" t="n">
        <v>24964</v>
      </c>
      <c r="J45" s="6" t="n">
        <v>3975</v>
      </c>
      <c r="K45" s="6" t="n">
        <v>222605</v>
      </c>
      <c r="L45" s="16" t="n">
        <v>16.97</v>
      </c>
      <c r="M45" s="16" t="n">
        <v>1.85</v>
      </c>
      <c r="N45" s="16" t="n">
        <v>-1.6</v>
      </c>
    </row>
    <row r="46" ht="13" customHeight="1">
      <c r="A46" s="17" t="inlineStr">
        <is>
          <t>Jul 03 2026</t>
        </is>
      </c>
      <c r="B46" s="4" t="n">
        <v>23400</v>
      </c>
      <c r="C46" s="4" t="n">
        <v>1732</v>
      </c>
      <c r="D46" s="4" t="n">
        <v>-266</v>
      </c>
      <c r="E46" s="4" t="n">
        <v>1226</v>
      </c>
      <c r="F46" s="17" t="n"/>
      <c r="G46" s="18" t="n">
        <v>886.7</v>
      </c>
      <c r="H46" s="18" t="n">
        <v>92.65000000000001</v>
      </c>
      <c r="I46" s="4" t="n">
        <v>61532</v>
      </c>
      <c r="J46" s="4" t="n">
        <v>-33466</v>
      </c>
      <c r="K46" s="4" t="n">
        <v>756685</v>
      </c>
      <c r="L46" s="18" t="n">
        <v>16.46</v>
      </c>
      <c r="M46" s="18" t="n">
        <v>2.1</v>
      </c>
      <c r="N46" s="18" t="n">
        <v>-1.8</v>
      </c>
    </row>
    <row r="47" ht="13" customHeight="1">
      <c r="A47" s="15" t="inlineStr">
        <is>
          <t>Jul 03 2026</t>
        </is>
      </c>
      <c r="B47" s="6" t="n">
        <v>23450</v>
      </c>
      <c r="C47" s="6" t="n">
        <v>359</v>
      </c>
      <c r="D47" s="6" t="n">
        <v>20</v>
      </c>
      <c r="E47" s="6" t="n">
        <v>516</v>
      </c>
      <c r="F47" s="15" t="n"/>
      <c r="G47" s="16" t="n">
        <v>836.95</v>
      </c>
      <c r="H47" s="16" t="n">
        <v>94.7</v>
      </c>
      <c r="I47" s="6" t="n">
        <v>20834</v>
      </c>
      <c r="J47" s="6" t="n">
        <v>-2723</v>
      </c>
      <c r="K47" s="6" t="n">
        <v>371688</v>
      </c>
      <c r="L47" s="16" t="n">
        <v>16.1</v>
      </c>
      <c r="M47" s="16" t="n">
        <v>2.55</v>
      </c>
      <c r="N47" s="16" t="n">
        <v>-1.85</v>
      </c>
    </row>
    <row r="48" ht="13" customHeight="1">
      <c r="A48" s="17" t="inlineStr">
        <is>
          <t>Jul 03 2026</t>
        </is>
      </c>
      <c r="B48" s="4" t="n">
        <v>23500</v>
      </c>
      <c r="C48" s="4" t="n">
        <v>4761</v>
      </c>
      <c r="D48" s="4" t="n">
        <v>-776</v>
      </c>
      <c r="E48" s="4" t="n">
        <v>4764</v>
      </c>
      <c r="F48" s="17" t="n"/>
      <c r="G48" s="18" t="n">
        <v>786.45</v>
      </c>
      <c r="H48" s="18" t="n">
        <v>92.5</v>
      </c>
      <c r="I48" s="4" t="n">
        <v>143714</v>
      </c>
      <c r="J48" s="4" t="n">
        <v>14202</v>
      </c>
      <c r="K48" s="4" t="n">
        <v>1031520</v>
      </c>
      <c r="L48" s="18" t="n">
        <v>15.56</v>
      </c>
      <c r="M48" s="18" t="n">
        <v>2.9</v>
      </c>
      <c r="N48" s="18" t="n">
        <v>-2</v>
      </c>
    </row>
    <row r="49" ht="13" customHeight="1">
      <c r="A49" s="15" t="inlineStr">
        <is>
          <t>Jul 03 2026</t>
        </is>
      </c>
      <c r="B49" s="6" t="n">
        <v>23550</v>
      </c>
      <c r="C49" s="6" t="n">
        <v>386</v>
      </c>
      <c r="D49" s="6" t="n">
        <v>-13</v>
      </c>
      <c r="E49" s="6" t="n">
        <v>233</v>
      </c>
      <c r="F49" s="15" t="n"/>
      <c r="G49" s="16" t="n">
        <v>735.75</v>
      </c>
      <c r="H49" s="16" t="n">
        <v>92.40000000000001</v>
      </c>
      <c r="I49" s="6" t="n">
        <v>30478</v>
      </c>
      <c r="J49" s="6" t="n">
        <v>-675</v>
      </c>
      <c r="K49" s="6" t="n">
        <v>417303</v>
      </c>
      <c r="L49" s="16" t="n">
        <v>14.76</v>
      </c>
      <c r="M49" s="16" t="n">
        <v>2.95</v>
      </c>
      <c r="N49" s="16" t="n">
        <v>-2.85</v>
      </c>
    </row>
    <row r="50" ht="13" customHeight="1">
      <c r="A50" s="17" t="inlineStr">
        <is>
          <t>Jul 03 2026</t>
        </is>
      </c>
      <c r="B50" s="4" t="n">
        <v>23600</v>
      </c>
      <c r="C50" s="4" t="n">
        <v>1868</v>
      </c>
      <c r="D50" s="4" t="n">
        <v>-922</v>
      </c>
      <c r="E50" s="4" t="n">
        <v>2996</v>
      </c>
      <c r="F50" s="17" t="n"/>
      <c r="G50" s="18" t="n">
        <v>686.45</v>
      </c>
      <c r="H50" s="18" t="n">
        <v>90.3</v>
      </c>
      <c r="I50" s="4" t="n">
        <v>90643</v>
      </c>
      <c r="J50" s="4" t="n">
        <v>-5392</v>
      </c>
      <c r="K50" s="4" t="n">
        <v>816393</v>
      </c>
      <c r="L50" s="18" t="n">
        <v>14.19</v>
      </c>
      <c r="M50" s="18" t="n">
        <v>3.35</v>
      </c>
      <c r="N50" s="18" t="n">
        <v>-3.4</v>
      </c>
    </row>
    <row r="51" ht="13" customHeight="1">
      <c r="A51" s="15" t="inlineStr">
        <is>
          <t>Jul 03 2026</t>
        </is>
      </c>
      <c r="B51" s="6" t="n">
        <v>23650</v>
      </c>
      <c r="C51" s="6" t="n">
        <v>616</v>
      </c>
      <c r="D51" s="6" t="n">
        <v>-114</v>
      </c>
      <c r="E51" s="6" t="n">
        <v>708</v>
      </c>
      <c r="F51" s="15" t="n"/>
      <c r="G51" s="16" t="n">
        <v>634.05</v>
      </c>
      <c r="H51" s="16" t="n">
        <v>80.2</v>
      </c>
      <c r="I51" s="6" t="n">
        <v>49293</v>
      </c>
      <c r="J51" s="6" t="n">
        <v>10605</v>
      </c>
      <c r="K51" s="6" t="n">
        <v>496733</v>
      </c>
      <c r="L51" s="16" t="n">
        <v>13.57</v>
      </c>
      <c r="M51" s="16" t="n">
        <v>3.75</v>
      </c>
      <c r="N51" s="16" t="n">
        <v>-4.55</v>
      </c>
    </row>
    <row r="52" ht="13" customHeight="1">
      <c r="A52" s="17" t="inlineStr">
        <is>
          <t>Jul 03 2026</t>
        </is>
      </c>
      <c r="B52" s="4" t="n">
        <v>23700</v>
      </c>
      <c r="C52" s="4" t="n">
        <v>2712</v>
      </c>
      <c r="D52" s="4" t="n">
        <v>-1442</v>
      </c>
      <c r="E52" s="4" t="n">
        <v>5202</v>
      </c>
      <c r="F52" s="17" t="n"/>
      <c r="G52" s="18" t="n">
        <v>588.5</v>
      </c>
      <c r="H52" s="18" t="n">
        <v>85.40000000000001</v>
      </c>
      <c r="I52" s="4" t="n">
        <v>69265</v>
      </c>
      <c r="J52" s="4" t="n">
        <v>-8651</v>
      </c>
      <c r="K52" s="4" t="n">
        <v>749474</v>
      </c>
      <c r="L52" s="18" t="n">
        <v>12.93</v>
      </c>
      <c r="M52" s="18" t="n">
        <v>4.2</v>
      </c>
      <c r="N52" s="18" t="n">
        <v>-6.4</v>
      </c>
    </row>
    <row r="53" ht="13" customHeight="1">
      <c r="A53" s="15" t="inlineStr">
        <is>
          <t>Jul 03 2026</t>
        </is>
      </c>
      <c r="B53" s="6" t="n">
        <v>23750</v>
      </c>
      <c r="C53" s="6" t="n">
        <v>1519</v>
      </c>
      <c r="D53" s="6" t="n">
        <v>-313</v>
      </c>
      <c r="E53" s="6" t="n">
        <v>2113</v>
      </c>
      <c r="F53" s="15" t="n"/>
      <c r="G53" s="16" t="n">
        <v>525.5</v>
      </c>
      <c r="H53" s="16" t="n">
        <v>68.90000000000001</v>
      </c>
      <c r="I53" s="6" t="n">
        <v>49564</v>
      </c>
      <c r="J53" s="6" t="n">
        <v>14807</v>
      </c>
      <c r="K53" s="6" t="n">
        <v>464110</v>
      </c>
      <c r="L53" s="16" t="n">
        <v>12.34</v>
      </c>
      <c r="M53" s="16" t="n">
        <v>4.85</v>
      </c>
      <c r="N53" s="16" t="n">
        <v>-8.449999999999999</v>
      </c>
    </row>
    <row r="54" ht="13" customHeight="1">
      <c r="A54" s="17" t="inlineStr">
        <is>
          <t>Jul 03 2026</t>
        </is>
      </c>
      <c r="B54" s="4" t="n">
        <v>23800</v>
      </c>
      <c r="C54" s="4" t="n">
        <v>12160</v>
      </c>
      <c r="D54" s="4" t="n">
        <v>-2216</v>
      </c>
      <c r="E54" s="4" t="n">
        <v>16358</v>
      </c>
      <c r="F54" s="17" t="n"/>
      <c r="G54" s="18" t="n">
        <v>485</v>
      </c>
      <c r="H54" s="18" t="n">
        <v>76.55</v>
      </c>
      <c r="I54" s="4" t="n">
        <v>125863</v>
      </c>
      <c r="J54" s="4" t="n">
        <v>23136</v>
      </c>
      <c r="K54" s="4" t="n">
        <v>944888</v>
      </c>
      <c r="L54" s="18" t="n">
        <v>11.81</v>
      </c>
      <c r="M54" s="18" t="n">
        <v>5.8</v>
      </c>
      <c r="N54" s="18" t="n">
        <v>-11.25</v>
      </c>
    </row>
    <row r="55" ht="13" customHeight="1">
      <c r="A55" s="15" t="inlineStr">
        <is>
          <t>Jul 03 2026</t>
        </is>
      </c>
      <c r="B55" s="6" t="n">
        <v>23850</v>
      </c>
      <c r="C55" s="6" t="n">
        <v>1936</v>
      </c>
      <c r="D55" s="6" t="n">
        <v>-1613</v>
      </c>
      <c r="E55" s="6" t="n">
        <v>5711</v>
      </c>
      <c r="F55" s="15" t="n"/>
      <c r="G55" s="16" t="n">
        <v>438.15</v>
      </c>
      <c r="H55" s="16" t="n">
        <v>72.09999999999999</v>
      </c>
      <c r="I55" s="6" t="n">
        <v>67141</v>
      </c>
      <c r="J55" s="6" t="n">
        <v>18621</v>
      </c>
      <c r="K55" s="6" t="n">
        <v>577558</v>
      </c>
      <c r="L55" s="16" t="n">
        <v>11.33</v>
      </c>
      <c r="M55" s="16" t="n">
        <v>7.15</v>
      </c>
      <c r="N55" s="16" t="n">
        <v>-14.7</v>
      </c>
    </row>
    <row r="56" ht="13" customHeight="1">
      <c r="A56" s="17" t="inlineStr">
        <is>
          <t>Jul 03 2026</t>
        </is>
      </c>
      <c r="B56" s="4" t="n">
        <v>23900</v>
      </c>
      <c r="C56" s="4" t="n">
        <v>26263</v>
      </c>
      <c r="D56" s="4" t="n">
        <v>-3896</v>
      </c>
      <c r="E56" s="4" t="n">
        <v>33404</v>
      </c>
      <c r="F56" s="17" t="n"/>
      <c r="G56" s="18" t="n">
        <v>388.05</v>
      </c>
      <c r="H56" s="18" t="n">
        <v>69.40000000000001</v>
      </c>
      <c r="I56" s="4" t="n">
        <v>147386</v>
      </c>
      <c r="J56" s="4" t="n">
        <v>17376</v>
      </c>
      <c r="K56" s="4" t="n">
        <v>1100447</v>
      </c>
      <c r="L56" s="18" t="n">
        <v>10.95</v>
      </c>
      <c r="M56" s="18" t="n">
        <v>9.300000000000001</v>
      </c>
      <c r="N56" s="18" t="n">
        <v>-18.6</v>
      </c>
    </row>
    <row r="57" ht="13" customHeight="1">
      <c r="A57" s="15" t="inlineStr">
        <is>
          <t>Jul 03 2026</t>
        </is>
      </c>
      <c r="B57" s="6" t="n">
        <v>23950</v>
      </c>
      <c r="C57" s="6" t="n">
        <v>7663</v>
      </c>
      <c r="D57" s="6" t="n">
        <v>-2668</v>
      </c>
      <c r="E57" s="6" t="n">
        <v>21071</v>
      </c>
      <c r="F57" s="15" t="n"/>
      <c r="G57" s="16" t="n">
        <v>341.1</v>
      </c>
      <c r="H57" s="16" t="n">
        <v>63.8</v>
      </c>
      <c r="I57" s="6" t="n">
        <v>68419</v>
      </c>
      <c r="J57" s="6" t="n">
        <v>6592</v>
      </c>
      <c r="K57" s="6" t="n">
        <v>756767</v>
      </c>
      <c r="L57" s="16" t="n">
        <v>10.52</v>
      </c>
      <c r="M57" s="16" t="n">
        <v>11.9</v>
      </c>
      <c r="N57" s="16" t="n">
        <v>-23.75</v>
      </c>
    </row>
    <row r="58" ht="13" customHeight="1">
      <c r="A58" s="17" t="inlineStr">
        <is>
          <t>Jul 03 2026</t>
        </is>
      </c>
      <c r="B58" s="4" t="n">
        <v>24000</v>
      </c>
      <c r="C58" s="4" t="n">
        <v>69474</v>
      </c>
      <c r="D58" s="4" t="n">
        <v>-15855</v>
      </c>
      <c r="E58" s="4" t="n">
        <v>254199</v>
      </c>
      <c r="F58" s="17" t="n"/>
      <c r="G58" s="18" t="n">
        <v>294.3</v>
      </c>
      <c r="H58" s="18" t="n">
        <v>55.85</v>
      </c>
      <c r="I58" s="4" t="n">
        <v>214322</v>
      </c>
      <c r="J58" s="4" t="n">
        <v>23751</v>
      </c>
      <c r="K58" s="4" t="n">
        <v>2297342</v>
      </c>
      <c r="L58" s="18" t="n">
        <v>10.16</v>
      </c>
      <c r="M58" s="18" t="n">
        <v>15.65</v>
      </c>
      <c r="N58" s="18" t="n">
        <v>-29.85</v>
      </c>
    </row>
    <row r="59" ht="13" customHeight="1">
      <c r="A59" s="15" t="inlineStr">
        <is>
          <t>Jul 03 2026</t>
        </is>
      </c>
      <c r="B59" s="6" t="n">
        <v>24050</v>
      </c>
      <c r="C59" s="6" t="n">
        <v>19774</v>
      </c>
      <c r="D59" s="6" t="n">
        <v>-16671</v>
      </c>
      <c r="E59" s="6" t="n">
        <v>81988</v>
      </c>
      <c r="F59" s="16" t="n">
        <v>6.1</v>
      </c>
      <c r="G59" s="16" t="n">
        <v>250.75</v>
      </c>
      <c r="H59" s="16" t="n">
        <v>50.45</v>
      </c>
      <c r="I59" s="6" t="n">
        <v>72411</v>
      </c>
      <c r="J59" s="6" t="n">
        <v>-25114</v>
      </c>
      <c r="K59" s="6" t="n">
        <v>1104911</v>
      </c>
      <c r="L59" s="16" t="n">
        <v>9.800000000000001</v>
      </c>
      <c r="M59" s="16" t="n">
        <v>20.7</v>
      </c>
      <c r="N59" s="16" t="n">
        <v>-37</v>
      </c>
    </row>
    <row r="60" ht="13" customHeight="1">
      <c r="A60" s="17" t="inlineStr">
        <is>
          <t>Jul 03 2026</t>
        </is>
      </c>
      <c r="B60" s="4" t="n">
        <v>24100</v>
      </c>
      <c r="C60" s="4" t="n">
        <v>30325</v>
      </c>
      <c r="D60" s="4" t="n">
        <v>-38959</v>
      </c>
      <c r="E60" s="4" t="n">
        <v>388639</v>
      </c>
      <c r="F60" s="18" t="n">
        <v>7.09</v>
      </c>
      <c r="G60" s="18" t="n">
        <v>209.55</v>
      </c>
      <c r="H60" s="18" t="n">
        <v>43.2</v>
      </c>
      <c r="I60" s="4" t="n">
        <v>122273</v>
      </c>
      <c r="J60" s="4" t="n">
        <v>-22546</v>
      </c>
      <c r="K60" s="4" t="n">
        <v>2200726</v>
      </c>
      <c r="L60" s="18" t="n">
        <v>9.550000000000001</v>
      </c>
      <c r="M60" s="18" t="n">
        <v>28.2</v>
      </c>
      <c r="N60" s="18" t="n">
        <v>-45.45</v>
      </c>
    </row>
    <row r="61" ht="13" customHeight="1">
      <c r="A61" s="15" t="inlineStr">
        <is>
          <t>Jul 03 2026</t>
        </is>
      </c>
      <c r="B61" s="6" t="n">
        <v>24150</v>
      </c>
      <c r="C61" s="6" t="n">
        <v>18595</v>
      </c>
      <c r="D61" s="6" t="n">
        <v>-28259</v>
      </c>
      <c r="E61" s="6" t="n">
        <v>333910</v>
      </c>
      <c r="F61" s="16" t="n">
        <v>7.24</v>
      </c>
      <c r="G61" s="16" t="n">
        <v>169.2</v>
      </c>
      <c r="H61" s="16" t="n">
        <v>33.6</v>
      </c>
      <c r="I61" s="6" t="n">
        <v>68062</v>
      </c>
      <c r="J61" s="6" t="n">
        <v>5960</v>
      </c>
      <c r="K61" s="6" t="n">
        <v>1601716</v>
      </c>
      <c r="L61" s="16" t="n">
        <v>9.289999999999999</v>
      </c>
      <c r="M61" s="16" t="n">
        <v>38.05</v>
      </c>
      <c r="N61" s="16" t="n">
        <v>-54.5</v>
      </c>
    </row>
    <row r="62" ht="13" customHeight="1">
      <c r="A62" s="17" t="inlineStr">
        <is>
          <t>Jul 03 2026</t>
        </is>
      </c>
      <c r="B62" s="4" t="n">
        <v>24200</v>
      </c>
      <c r="C62" s="4" t="n">
        <v>76421</v>
      </c>
      <c r="D62" s="4" t="n">
        <v>-39986</v>
      </c>
      <c r="E62" s="4" t="n">
        <v>1554018</v>
      </c>
      <c r="F62" s="18" t="n">
        <v>7.26</v>
      </c>
      <c r="G62" s="18" t="n">
        <v>132.15</v>
      </c>
      <c r="H62" s="18" t="n">
        <v>24</v>
      </c>
      <c r="I62" s="4" t="n">
        <v>127871</v>
      </c>
      <c r="J62" s="4" t="n">
        <v>53678</v>
      </c>
      <c r="K62" s="4" t="n">
        <v>3519326</v>
      </c>
      <c r="L62" s="18" t="n">
        <v>9.15</v>
      </c>
      <c r="M62" s="18" t="n">
        <v>51.95</v>
      </c>
      <c r="N62" s="18" t="n">
        <v>-62.5</v>
      </c>
    </row>
    <row r="63" ht="13" customHeight="1">
      <c r="A63" s="15" t="inlineStr">
        <is>
          <t>Jul 03 2026</t>
        </is>
      </c>
      <c r="B63" s="6" t="n">
        <v>24250</v>
      </c>
      <c r="C63" s="6" t="n">
        <v>45575</v>
      </c>
      <c r="D63" s="6" t="n">
        <v>13810</v>
      </c>
      <c r="E63" s="6" t="n">
        <v>1913331</v>
      </c>
      <c r="F63" s="16" t="n">
        <v>7.52</v>
      </c>
      <c r="G63" s="16" t="n">
        <v>102.15</v>
      </c>
      <c r="H63" s="16" t="n">
        <v>18.45</v>
      </c>
      <c r="I63" s="6" t="n">
        <v>52439</v>
      </c>
      <c r="J63" s="6" t="n">
        <v>40444</v>
      </c>
      <c r="K63" s="6" t="n">
        <v>3171258</v>
      </c>
      <c r="L63" s="16" t="n">
        <v>9.15</v>
      </c>
      <c r="M63" s="16" t="n">
        <v>70.84999999999999</v>
      </c>
      <c r="N63" s="16" t="n">
        <v>-69.3</v>
      </c>
    </row>
    <row r="64" ht="13" customHeight="1">
      <c r="A64" s="17" t="inlineStr">
        <is>
          <t>Jul 03 2026</t>
        </is>
      </c>
      <c r="B64" s="4" t="n">
        <v>24300</v>
      </c>
      <c r="C64" s="4" t="n">
        <v>167273</v>
      </c>
      <c r="D64" s="4" t="n">
        <v>91309</v>
      </c>
      <c r="E64" s="4" t="n">
        <v>5789030</v>
      </c>
      <c r="F64" s="18" t="n">
        <v>7.56</v>
      </c>
      <c r="G64" s="18" t="n">
        <v>75.40000000000001</v>
      </c>
      <c r="H64" s="18" t="n">
        <v>12.35</v>
      </c>
      <c r="I64" s="4" t="n">
        <v>95985</v>
      </c>
      <c r="J64" s="4" t="n">
        <v>75188</v>
      </c>
      <c r="K64" s="4" t="n">
        <v>6888138</v>
      </c>
      <c r="L64" s="18" t="n">
        <v>9.109999999999999</v>
      </c>
      <c r="M64" s="18" t="n">
        <v>93.65000000000001</v>
      </c>
      <c r="N64" s="18" t="n">
        <v>-75.75</v>
      </c>
    </row>
    <row r="65" ht="13" customHeight="1">
      <c r="A65" s="15" t="inlineStr">
        <is>
          <t>Jul 03 2026</t>
        </is>
      </c>
      <c r="B65" s="6" t="n">
        <v>24350</v>
      </c>
      <c r="C65" s="6" t="n">
        <v>116100</v>
      </c>
      <c r="D65" s="6" t="n">
        <v>83834</v>
      </c>
      <c r="E65" s="6" t="n">
        <v>4979130</v>
      </c>
      <c r="F65" s="16" t="n">
        <v>7.59</v>
      </c>
      <c r="G65" s="16" t="n">
        <v>53.6</v>
      </c>
      <c r="H65" s="16" t="n">
        <v>7.75</v>
      </c>
      <c r="I65" s="6" t="n">
        <v>34319</v>
      </c>
      <c r="J65" s="6" t="n">
        <v>31039</v>
      </c>
      <c r="K65" s="6" t="n">
        <v>4052826</v>
      </c>
      <c r="L65" s="16" t="n">
        <v>9.25</v>
      </c>
      <c r="M65" s="16" t="n">
        <v>122.4</v>
      </c>
      <c r="N65" s="16" t="n">
        <v>-80.3</v>
      </c>
    </row>
    <row r="66" ht="13" customHeight="1">
      <c r="A66" s="17" t="inlineStr">
        <is>
          <t>Jul 03 2026</t>
        </is>
      </c>
      <c r="B66" s="4" t="n">
        <v>24400</v>
      </c>
      <c r="C66" s="4" t="n">
        <v>174995</v>
      </c>
      <c r="D66" s="4" t="n">
        <v>76040</v>
      </c>
      <c r="E66" s="4" t="n">
        <v>5257012</v>
      </c>
      <c r="F66" s="18" t="n">
        <v>7.67</v>
      </c>
      <c r="G66" s="18" t="n">
        <v>37.15</v>
      </c>
      <c r="H66" s="18" t="n">
        <v>4.75</v>
      </c>
      <c r="I66" s="4" t="n">
        <v>25702</v>
      </c>
      <c r="J66" s="4" t="n">
        <v>19325</v>
      </c>
      <c r="K66" s="4" t="n">
        <v>3082587</v>
      </c>
      <c r="L66" s="18" t="n">
        <v>9.35</v>
      </c>
      <c r="M66" s="18" t="n">
        <v>154.85</v>
      </c>
      <c r="N66" s="18" t="n">
        <v>-84.34999999999999</v>
      </c>
    </row>
    <row r="67" ht="13" customHeight="1">
      <c r="A67" s="15" t="inlineStr">
        <is>
          <t>Jul 03 2026</t>
        </is>
      </c>
      <c r="B67" s="6" t="n">
        <v>24450</v>
      </c>
      <c r="C67" s="6" t="n">
        <v>59543</v>
      </c>
      <c r="D67" s="6" t="n">
        <v>28251</v>
      </c>
      <c r="E67" s="6" t="n">
        <v>2076641</v>
      </c>
      <c r="F67" s="16" t="n">
        <v>7.81</v>
      </c>
      <c r="G67" s="16" t="n">
        <v>25.4</v>
      </c>
      <c r="H67" s="16" t="n">
        <v>2.55</v>
      </c>
      <c r="I67" s="6" t="n">
        <v>5340</v>
      </c>
      <c r="J67" s="6" t="n">
        <v>3758</v>
      </c>
      <c r="K67" s="6" t="n">
        <v>652564</v>
      </c>
      <c r="L67" s="16" t="n">
        <v>9.710000000000001</v>
      </c>
      <c r="M67" s="16" t="n">
        <v>193.1</v>
      </c>
      <c r="N67" s="16" t="n">
        <v>-85.65000000000001</v>
      </c>
    </row>
    <row r="68" ht="13" customHeight="1">
      <c r="A68" s="17" t="inlineStr">
        <is>
          <t>Jul 03 2026</t>
        </is>
      </c>
      <c r="B68" s="4" t="n">
        <v>24500</v>
      </c>
      <c r="C68" s="4" t="n">
        <v>175539</v>
      </c>
      <c r="D68" s="4" t="n">
        <v>43368</v>
      </c>
      <c r="E68" s="4" t="n">
        <v>3824979</v>
      </c>
      <c r="F68" s="18" t="n">
        <v>7.97</v>
      </c>
      <c r="G68" s="18" t="n">
        <v>17.1</v>
      </c>
      <c r="H68" s="18" t="n">
        <v>1.7</v>
      </c>
      <c r="I68" s="4" t="n">
        <v>21007</v>
      </c>
      <c r="J68" s="4" t="n">
        <v>5828</v>
      </c>
      <c r="K68" s="4" t="n">
        <v>972150</v>
      </c>
      <c r="L68" s="18" t="n">
        <v>10.19</v>
      </c>
      <c r="M68" s="18" t="n">
        <v>234.8</v>
      </c>
      <c r="N68" s="18" t="n">
        <v>-87.3</v>
      </c>
    </row>
    <row r="69" ht="13" customHeight="1">
      <c r="A69" s="15" t="inlineStr">
        <is>
          <t>Jul 03 2026</t>
        </is>
      </c>
      <c r="B69" s="6" t="n">
        <v>24550</v>
      </c>
      <c r="C69" s="6" t="n">
        <v>68778</v>
      </c>
      <c r="D69" s="6" t="n">
        <v>32589</v>
      </c>
      <c r="E69" s="6" t="n">
        <v>1719610</v>
      </c>
      <c r="F69" s="16" t="n">
        <v>8.09</v>
      </c>
      <c r="G69" s="16" t="n">
        <v>11.1</v>
      </c>
      <c r="H69" s="16" t="n">
        <v>0.9</v>
      </c>
      <c r="I69" s="6" t="n">
        <v>2288</v>
      </c>
      <c r="J69" s="6" t="n">
        <v>1677</v>
      </c>
      <c r="K69" s="6" t="n">
        <v>132010</v>
      </c>
      <c r="L69" s="16" t="n">
        <v>10.66</v>
      </c>
      <c r="M69" s="16" t="n">
        <v>278.3</v>
      </c>
      <c r="N69" s="16" t="n">
        <v>-88.59999999999999</v>
      </c>
    </row>
    <row r="70" ht="13" customHeight="1">
      <c r="A70" s="17" t="inlineStr">
        <is>
          <t>Jul 03 2026</t>
        </is>
      </c>
      <c r="B70" s="4" t="n">
        <v>24600</v>
      </c>
      <c r="C70" s="4" t="n">
        <v>134499</v>
      </c>
      <c r="D70" s="4" t="n">
        <v>25920</v>
      </c>
      <c r="E70" s="4" t="n">
        <v>2539013</v>
      </c>
      <c r="F70" s="18" t="n">
        <v>8.35</v>
      </c>
      <c r="G70" s="18" t="n">
        <v>7.55</v>
      </c>
      <c r="H70" s="18" t="n">
        <v>0.9</v>
      </c>
      <c r="I70" s="4" t="n">
        <v>4100</v>
      </c>
      <c r="J70" s="4" t="n">
        <v>2015</v>
      </c>
      <c r="K70" s="4" t="n">
        <v>150149</v>
      </c>
      <c r="L70" s="18" t="n">
        <v>11.48</v>
      </c>
      <c r="M70" s="18" t="n">
        <v>325.3</v>
      </c>
      <c r="N70" s="18" t="n">
        <v>-88.25</v>
      </c>
    </row>
    <row r="71" ht="13" customHeight="1">
      <c r="A71" s="15" t="inlineStr">
        <is>
          <t>Jul 03 2026</t>
        </is>
      </c>
      <c r="B71" s="6" t="n">
        <v>24650</v>
      </c>
      <c r="C71" s="6" t="n">
        <v>64679</v>
      </c>
      <c r="D71" s="6" t="n">
        <v>35930</v>
      </c>
      <c r="E71" s="6" t="n">
        <v>1018285</v>
      </c>
      <c r="F71" s="16" t="n">
        <v>8.68</v>
      </c>
      <c r="G71" s="16" t="n">
        <v>5.35</v>
      </c>
      <c r="H71" s="16" t="n">
        <v>0.7</v>
      </c>
      <c r="I71" s="6" t="n">
        <v>621</v>
      </c>
      <c r="J71" s="6" t="n">
        <v>380</v>
      </c>
      <c r="K71" s="6" t="n">
        <v>24323</v>
      </c>
      <c r="L71" s="16" t="n">
        <v>11.66</v>
      </c>
      <c r="M71" s="16" t="n">
        <v>369.6</v>
      </c>
      <c r="N71" s="16" t="n">
        <v>-92.90000000000001</v>
      </c>
    </row>
    <row r="72" ht="13" customHeight="1">
      <c r="A72" s="17" t="inlineStr">
        <is>
          <t>Jul 03 2026</t>
        </is>
      </c>
      <c r="B72" s="4" t="n">
        <v>24700</v>
      </c>
      <c r="C72" s="4" t="n">
        <v>113805</v>
      </c>
      <c r="D72" s="4" t="n">
        <v>34670</v>
      </c>
      <c r="E72" s="4" t="n">
        <v>1247664</v>
      </c>
      <c r="F72" s="18" t="n">
        <v>9.050000000000001</v>
      </c>
      <c r="G72" s="18" t="n">
        <v>3.9</v>
      </c>
      <c r="H72" s="18" t="n">
        <v>0.6</v>
      </c>
      <c r="I72" s="4" t="n">
        <v>1240</v>
      </c>
      <c r="J72" s="4" t="n">
        <v>654</v>
      </c>
      <c r="K72" s="4" t="n">
        <v>32165</v>
      </c>
      <c r="L72" s="18" t="n">
        <v>12.48</v>
      </c>
      <c r="M72" s="18" t="n">
        <v>418</v>
      </c>
      <c r="N72" s="18" t="n">
        <v>-90.55</v>
      </c>
    </row>
    <row r="73" ht="13" customHeight="1">
      <c r="A73" s="15" t="inlineStr">
        <is>
          <t>Jul 03 2026</t>
        </is>
      </c>
      <c r="B73" s="6" t="n">
        <v>24750</v>
      </c>
      <c r="C73" s="6" t="n">
        <v>57031</v>
      </c>
      <c r="D73" s="6" t="n">
        <v>29433</v>
      </c>
      <c r="E73" s="6" t="n">
        <v>701900</v>
      </c>
      <c r="F73" s="16" t="n">
        <v>9.65</v>
      </c>
      <c r="G73" s="16" t="n">
        <v>3.3</v>
      </c>
      <c r="H73" s="16" t="n">
        <v>0.75</v>
      </c>
      <c r="I73" s="6" t="n">
        <v>381</v>
      </c>
      <c r="J73" s="6" t="n">
        <v>245</v>
      </c>
      <c r="K73" s="6" t="n">
        <v>6160</v>
      </c>
      <c r="L73" s="16" t="n">
        <v>14.34</v>
      </c>
      <c r="M73" s="16" t="n">
        <v>471.45</v>
      </c>
      <c r="N73" s="16" t="n">
        <v>-89.15000000000001</v>
      </c>
    </row>
    <row r="74" ht="13" customHeight="1">
      <c r="A74" s="17" t="inlineStr">
        <is>
          <t>Jul 03 2026</t>
        </is>
      </c>
      <c r="B74" s="4" t="n">
        <v>24800</v>
      </c>
      <c r="C74" s="4" t="n">
        <v>113362</v>
      </c>
      <c r="D74" s="4" t="n">
        <v>50362</v>
      </c>
      <c r="E74" s="4" t="n">
        <v>901872</v>
      </c>
      <c r="F74" s="18" t="n">
        <v>10.19</v>
      </c>
      <c r="G74" s="18" t="n">
        <v>2.75</v>
      </c>
      <c r="H74" s="18" t="n">
        <v>0.55</v>
      </c>
      <c r="I74" s="4" t="n">
        <v>847</v>
      </c>
      <c r="J74" s="4" t="n">
        <v>268</v>
      </c>
      <c r="K74" s="4" t="n">
        <v>14853</v>
      </c>
      <c r="L74" s="18" t="n">
        <v>14.9</v>
      </c>
      <c r="M74" s="18" t="n">
        <v>518.95</v>
      </c>
      <c r="N74" s="18" t="n">
        <v>-89.8</v>
      </c>
    </row>
    <row r="75" ht="13" customHeight="1">
      <c r="A75" s="15" t="inlineStr">
        <is>
          <t>Jul 03 2026</t>
        </is>
      </c>
      <c r="B75" s="6" t="n">
        <v>24850</v>
      </c>
      <c r="C75" s="6" t="n">
        <v>36166</v>
      </c>
      <c r="D75" s="6" t="n">
        <v>20018</v>
      </c>
      <c r="E75" s="6" t="n">
        <v>514440</v>
      </c>
      <c r="F75" s="16" t="n">
        <v>10.74</v>
      </c>
      <c r="G75" s="16" t="n">
        <v>2.35</v>
      </c>
      <c r="H75" s="16" t="n">
        <v>0.5</v>
      </c>
      <c r="I75" s="6" t="n">
        <v>149</v>
      </c>
      <c r="J75" s="6" t="n">
        <v>89</v>
      </c>
      <c r="K75" s="6" t="n">
        <v>1557</v>
      </c>
      <c r="L75" s="16" t="n">
        <v>15.71</v>
      </c>
      <c r="M75" s="16" t="n">
        <v>567.85</v>
      </c>
      <c r="N75" s="16" t="n">
        <v>-96</v>
      </c>
    </row>
    <row r="76" ht="13" customHeight="1">
      <c r="A76" s="17" t="inlineStr">
        <is>
          <t>Jul 03 2026</t>
        </is>
      </c>
      <c r="B76" s="4" t="n">
        <v>24900</v>
      </c>
      <c r="C76" s="4" t="n">
        <v>68584</v>
      </c>
      <c r="D76" s="4" t="n">
        <v>30482</v>
      </c>
      <c r="E76" s="4" t="n">
        <v>667623</v>
      </c>
      <c r="F76" s="18" t="n">
        <v>11.35</v>
      </c>
      <c r="G76" s="18" t="n">
        <v>2.1</v>
      </c>
      <c r="H76" s="18" t="n">
        <v>0.45</v>
      </c>
      <c r="I76" s="4" t="n">
        <v>374</v>
      </c>
      <c r="J76" s="4" t="n">
        <v>139</v>
      </c>
      <c r="K76" s="4" t="n">
        <v>2485</v>
      </c>
      <c r="L76" s="18" t="n">
        <v>17.17</v>
      </c>
      <c r="M76" s="18" t="n">
        <v>619.45</v>
      </c>
      <c r="N76" s="18" t="n">
        <v>-92.09999999999999</v>
      </c>
    </row>
    <row r="77" ht="13" customHeight="1">
      <c r="A77" s="15" t="inlineStr">
        <is>
          <t>Jul 03 2026</t>
        </is>
      </c>
      <c r="B77" s="6" t="n">
        <v>24950</v>
      </c>
      <c r="C77" s="6" t="n">
        <v>28385</v>
      </c>
      <c r="D77" s="6" t="n">
        <v>19373</v>
      </c>
      <c r="E77" s="6" t="n">
        <v>380301</v>
      </c>
      <c r="F77" s="16" t="n">
        <v>12.05</v>
      </c>
      <c r="G77" s="16" t="n">
        <v>2</v>
      </c>
      <c r="H77" s="16" t="n">
        <v>0.45</v>
      </c>
      <c r="I77" s="6" t="n">
        <v>38</v>
      </c>
      <c r="J77" s="6" t="n">
        <v>19</v>
      </c>
      <c r="K77" s="6" t="n">
        <v>102</v>
      </c>
      <c r="L77" s="16" t="n">
        <v>17.52</v>
      </c>
      <c r="M77" s="16" t="n">
        <v>666.8</v>
      </c>
      <c r="N77" s="16" t="n">
        <v>-89.59999999999999</v>
      </c>
    </row>
    <row r="78" ht="13" customHeight="1">
      <c r="A78" s="17" t="inlineStr">
        <is>
          <t>Jul 03 2026</t>
        </is>
      </c>
      <c r="B78" s="4" t="n">
        <v>25000</v>
      </c>
      <c r="C78" s="4" t="n">
        <v>185715</v>
      </c>
      <c r="D78" s="4" t="n">
        <v>44895</v>
      </c>
      <c r="E78" s="4" t="n">
        <v>1241586</v>
      </c>
      <c r="F78" s="18" t="n">
        <v>12.58</v>
      </c>
      <c r="G78" s="18" t="n">
        <v>1.75</v>
      </c>
      <c r="H78" s="18" t="n">
        <v>0.25</v>
      </c>
      <c r="I78" s="4" t="n">
        <v>7908</v>
      </c>
      <c r="J78" s="4" t="n">
        <v>1403</v>
      </c>
      <c r="K78" s="4" t="n">
        <v>9719</v>
      </c>
      <c r="L78" s="18" t="n">
        <v>19.07</v>
      </c>
      <c r="M78" s="18" t="n">
        <v>718.7</v>
      </c>
      <c r="N78" s="18" t="n">
        <v>-87.75</v>
      </c>
    </row>
    <row r="79" ht="13" customHeight="1">
      <c r="A79" s="15" t="inlineStr">
        <is>
          <t>Jul 03 2026</t>
        </is>
      </c>
      <c r="B79" s="6" t="n">
        <v>25050</v>
      </c>
      <c r="C79" s="6" t="n">
        <v>19200</v>
      </c>
      <c r="D79" s="6" t="n">
        <v>8267</v>
      </c>
      <c r="E79" s="6" t="n">
        <v>302594</v>
      </c>
      <c r="F79" s="16" t="n">
        <v>13.17</v>
      </c>
      <c r="G79" s="16" t="n">
        <v>1.6</v>
      </c>
      <c r="H79" s="16" t="n">
        <v>0.25</v>
      </c>
      <c r="I79" s="6" t="n">
        <v>33</v>
      </c>
      <c r="J79" s="6" t="n">
        <v>14</v>
      </c>
      <c r="K79" s="6" t="n">
        <v>83</v>
      </c>
      <c r="L79" s="16" t="n">
        <v>19.91</v>
      </c>
      <c r="M79" s="16" t="n">
        <v>768.05</v>
      </c>
      <c r="N79" s="16" t="n">
        <v>-255.25</v>
      </c>
    </row>
    <row r="80" ht="13" customHeight="1">
      <c r="A80" s="17" t="inlineStr">
        <is>
          <t>Jul 03 2026</t>
        </is>
      </c>
      <c r="B80" s="4" t="n">
        <v>25100</v>
      </c>
      <c r="C80" s="4" t="n">
        <v>72779</v>
      </c>
      <c r="D80" s="4" t="n">
        <v>23936</v>
      </c>
      <c r="E80" s="4" t="n">
        <v>425887</v>
      </c>
      <c r="F80" s="18" t="n">
        <v>13.66</v>
      </c>
      <c r="G80" s="18" t="n">
        <v>1.4</v>
      </c>
      <c r="H80" s="18" t="n">
        <v>0.2</v>
      </c>
      <c r="I80" s="4" t="n">
        <v>108</v>
      </c>
      <c r="J80" s="4" t="n">
        <v>16</v>
      </c>
      <c r="K80" s="4" t="n">
        <v>178</v>
      </c>
      <c r="L80" s="18" t="n">
        <v>19.35</v>
      </c>
      <c r="M80" s="18" t="n">
        <v>813.15</v>
      </c>
      <c r="N80" s="18" t="n">
        <v>-82.40000000000001</v>
      </c>
    </row>
    <row r="81" ht="13" customHeight="1">
      <c r="A81" s="15" t="inlineStr">
        <is>
          <t>Jul 03 2026</t>
        </is>
      </c>
      <c r="B81" s="6" t="n">
        <v>25150</v>
      </c>
      <c r="C81" s="6" t="n">
        <v>12746</v>
      </c>
      <c r="D81" s="6" t="n">
        <v>4966</v>
      </c>
      <c r="E81" s="6" t="n">
        <v>160322</v>
      </c>
      <c r="F81" s="16" t="n">
        <v>14.17</v>
      </c>
      <c r="G81" s="16" t="n">
        <v>1.25</v>
      </c>
      <c r="H81" s="16" t="n">
        <v>0.05</v>
      </c>
      <c r="I81" s="6" t="n">
        <v>18</v>
      </c>
      <c r="J81" s="6" t="n">
        <v>12</v>
      </c>
      <c r="K81" s="6" t="n">
        <v>42</v>
      </c>
      <c r="L81" s="16" t="n">
        <v>21.86</v>
      </c>
      <c r="M81" s="16" t="n">
        <v>867.9</v>
      </c>
      <c r="N81" s="16" t="n">
        <v>-94.90000000000001</v>
      </c>
    </row>
    <row r="82" ht="13" customHeight="1">
      <c r="A82" s="17" t="inlineStr">
        <is>
          <t>Jul 03 2026</t>
        </is>
      </c>
      <c r="B82" s="4" t="n">
        <v>25200</v>
      </c>
      <c r="C82" s="4" t="n">
        <v>67995</v>
      </c>
      <c r="D82" s="4" t="n">
        <v>21200</v>
      </c>
      <c r="E82" s="4" t="n">
        <v>391545</v>
      </c>
      <c r="F82" s="18" t="n">
        <v>14.48</v>
      </c>
      <c r="G82" s="18" t="n">
        <v>1</v>
      </c>
      <c r="H82" s="18" t="n">
        <v>-0.1</v>
      </c>
      <c r="I82" s="4" t="n">
        <v>159</v>
      </c>
      <c r="J82" s="4" t="n">
        <v>0</v>
      </c>
      <c r="K82" s="4" t="n">
        <v>43</v>
      </c>
      <c r="L82" s="18" t="n">
        <v>22.59</v>
      </c>
      <c r="M82" s="18" t="n">
        <v>917.1</v>
      </c>
      <c r="N82" s="18" t="n">
        <v>-92.40000000000001</v>
      </c>
    </row>
    <row r="83" ht="13" customHeight="1">
      <c r="A83" s="15" t="inlineStr">
        <is>
          <t>Jul 03 2026</t>
        </is>
      </c>
      <c r="B83" s="6" t="n">
        <v>25250</v>
      </c>
      <c r="C83" s="6" t="n">
        <v>13761</v>
      </c>
      <c r="D83" s="6" t="n">
        <v>1454</v>
      </c>
      <c r="E83" s="6" t="n">
        <v>136989</v>
      </c>
      <c r="F83" s="16" t="n">
        <v>15.07</v>
      </c>
      <c r="G83" s="16" t="n">
        <v>0.95</v>
      </c>
      <c r="H83" s="16" t="n">
        <v>-0.15</v>
      </c>
      <c r="I83" s="6" t="n">
        <v>3</v>
      </c>
      <c r="J83" s="6" t="n">
        <v>1</v>
      </c>
      <c r="K83" s="6" t="n">
        <v>2</v>
      </c>
      <c r="L83" s="16" t="n">
        <v>17.1</v>
      </c>
      <c r="M83" s="16" t="n">
        <v>954</v>
      </c>
      <c r="N83" s="16" t="n">
        <v>-106.05</v>
      </c>
    </row>
    <row r="84" ht="13" customHeight="1">
      <c r="A84" s="17" t="inlineStr">
        <is>
          <t>Jul 03 2026</t>
        </is>
      </c>
      <c r="B84" s="4" t="n">
        <v>25300</v>
      </c>
      <c r="C84" s="4" t="n">
        <v>40999</v>
      </c>
      <c r="D84" s="4" t="n">
        <v>19210</v>
      </c>
      <c r="E84" s="4" t="n">
        <v>256825</v>
      </c>
      <c r="F84" s="18" t="n">
        <v>15.65</v>
      </c>
      <c r="G84" s="18" t="n">
        <v>0.9</v>
      </c>
      <c r="H84" s="18" t="n">
        <v>-0.1</v>
      </c>
      <c r="I84" s="4" t="n">
        <v>44</v>
      </c>
      <c r="J84" s="4" t="n">
        <v>-6</v>
      </c>
      <c r="K84" s="4" t="n">
        <v>56</v>
      </c>
      <c r="L84" s="18" t="n">
        <v>23.68</v>
      </c>
      <c r="M84" s="18" t="n">
        <v>1014.7</v>
      </c>
      <c r="N84" s="18" t="n">
        <v>-123.3</v>
      </c>
    </row>
    <row r="85" ht="13" customHeight="1">
      <c r="A85" s="15" t="inlineStr">
        <is>
          <t>Jul 03 2026</t>
        </is>
      </c>
      <c r="B85" s="6" t="n">
        <v>25350</v>
      </c>
      <c r="C85" s="6" t="n">
        <v>9138</v>
      </c>
      <c r="D85" s="6" t="n">
        <v>4980</v>
      </c>
      <c r="E85" s="6" t="n">
        <v>62294</v>
      </c>
      <c r="F85" s="16" t="n">
        <v>16.22</v>
      </c>
      <c r="G85" s="16" t="n">
        <v>0.85</v>
      </c>
      <c r="H85" s="16" t="n">
        <v>-0.05</v>
      </c>
      <c r="I85" s="6" t="n">
        <v>8</v>
      </c>
      <c r="J85" s="6" t="n">
        <v>0</v>
      </c>
      <c r="K85" s="6" t="n">
        <v>0</v>
      </c>
      <c r="L85" s="16" t="n">
        <v>25.13</v>
      </c>
      <c r="M85" s="16" t="n">
        <v>1375.95</v>
      </c>
      <c r="N85" s="15" t="n"/>
    </row>
    <row r="86" ht="13" customHeight="1">
      <c r="A86" s="17" t="inlineStr">
        <is>
          <t>Jul 03 2026</t>
        </is>
      </c>
      <c r="B86" s="4" t="n">
        <v>25400</v>
      </c>
      <c r="C86" s="4" t="n">
        <v>34284</v>
      </c>
      <c r="D86" s="4" t="n">
        <v>7181</v>
      </c>
      <c r="E86" s="4" t="n">
        <v>254800</v>
      </c>
      <c r="F86" s="18" t="n">
        <v>16.88</v>
      </c>
      <c r="G86" s="18" t="n">
        <v>0.85</v>
      </c>
      <c r="H86" s="18" t="n">
        <v>0.05</v>
      </c>
      <c r="I86" s="4" t="n">
        <v>28</v>
      </c>
      <c r="J86" s="4" t="n">
        <v>-1</v>
      </c>
      <c r="K86" s="4" t="n">
        <v>5</v>
      </c>
      <c r="L86" s="17" t="n"/>
      <c r="M86" s="18" t="n">
        <v>1100.45</v>
      </c>
      <c r="N86" s="18" t="n">
        <v>-99.55</v>
      </c>
    </row>
    <row r="87" ht="13" customHeight="1">
      <c r="A87" s="15" t="inlineStr">
        <is>
          <t>Jul 03 2026</t>
        </is>
      </c>
      <c r="B87" s="6" t="n">
        <v>25450</v>
      </c>
      <c r="C87" s="6" t="n">
        <v>9572</v>
      </c>
      <c r="D87" s="6" t="n">
        <v>3800</v>
      </c>
      <c r="E87" s="6" t="n">
        <v>44204</v>
      </c>
      <c r="F87" s="16" t="n">
        <v>17.17</v>
      </c>
      <c r="G87" s="16" t="n">
        <v>0.7</v>
      </c>
      <c r="H87" s="16" t="n">
        <v>-0.05</v>
      </c>
      <c r="I87" s="6" t="n">
        <v>2</v>
      </c>
      <c r="J87" s="6" t="n">
        <v>0</v>
      </c>
      <c r="K87" s="6" t="n">
        <v>0</v>
      </c>
      <c r="L87" s="16" t="n">
        <v>28.19</v>
      </c>
      <c r="M87" s="16" t="n">
        <v>1259.7</v>
      </c>
      <c r="N87" s="15" t="n"/>
    </row>
    <row r="88" ht="13" customHeight="1">
      <c r="A88" s="17" t="inlineStr">
        <is>
          <t>Jul 03 2026</t>
        </is>
      </c>
      <c r="B88" s="4" t="n">
        <v>25500</v>
      </c>
      <c r="C88" s="4" t="n">
        <v>134638</v>
      </c>
      <c r="D88" s="4" t="n">
        <v>43535</v>
      </c>
      <c r="E88" s="4" t="n">
        <v>469395</v>
      </c>
      <c r="F88" s="18" t="n">
        <v>17.95</v>
      </c>
      <c r="G88" s="18" t="n">
        <v>0.75</v>
      </c>
      <c r="H88" s="17" t="n"/>
      <c r="I88" s="4" t="n">
        <v>1729</v>
      </c>
      <c r="J88" s="4" t="n">
        <v>-32</v>
      </c>
      <c r="K88" s="4" t="n">
        <v>206</v>
      </c>
      <c r="L88" s="18" t="n">
        <v>26.75</v>
      </c>
      <c r="M88" s="18" t="n">
        <v>1213.2</v>
      </c>
      <c r="N88" s="18" t="n">
        <v>-91.90000000000001</v>
      </c>
    </row>
    <row r="89" ht="13" customHeight="1">
      <c r="A89" s="15" t="inlineStr">
        <is>
          <t>Jul 03 2026</t>
        </is>
      </c>
      <c r="B89" s="6" t="n">
        <v>25550</v>
      </c>
      <c r="C89" s="6" t="n">
        <v>5240</v>
      </c>
      <c r="D89" s="6" t="n">
        <v>226</v>
      </c>
      <c r="E89" s="6" t="n">
        <v>34487</v>
      </c>
      <c r="F89" s="16" t="n">
        <v>18.59</v>
      </c>
      <c r="G89" s="16" t="n">
        <v>0.75</v>
      </c>
      <c r="H89" s="16" t="n">
        <v>0.05</v>
      </c>
      <c r="I89" s="6" t="n">
        <v>6</v>
      </c>
      <c r="J89" s="6" t="n">
        <v>0</v>
      </c>
      <c r="K89" s="6" t="n">
        <v>0</v>
      </c>
      <c r="L89" s="16" t="n">
        <v>28.91</v>
      </c>
      <c r="M89" s="16" t="n">
        <v>1357.3</v>
      </c>
      <c r="N89" s="15" t="n"/>
    </row>
    <row r="90" ht="13" customHeight="1">
      <c r="A90" s="17" t="inlineStr">
        <is>
          <t>Jul 03 2026</t>
        </is>
      </c>
      <c r="B90" s="4" t="n">
        <v>25600</v>
      </c>
      <c r="C90" s="4" t="n">
        <v>48823</v>
      </c>
      <c r="D90" s="4" t="n">
        <v>26731</v>
      </c>
      <c r="E90" s="4" t="n">
        <v>169577</v>
      </c>
      <c r="F90" s="18" t="n">
        <v>18.94</v>
      </c>
      <c r="G90" s="18" t="n">
        <v>0.65</v>
      </c>
      <c r="H90" s="17" t="n"/>
      <c r="I90" s="4" t="n">
        <v>8</v>
      </c>
      <c r="J90" s="4" t="n">
        <v>-3</v>
      </c>
      <c r="K90" s="4" t="n">
        <v>7</v>
      </c>
      <c r="L90" s="18" t="n">
        <v>31.17</v>
      </c>
      <c r="M90" s="18" t="n">
        <v>1320</v>
      </c>
      <c r="N90" s="18" t="n">
        <v>-299</v>
      </c>
    </row>
    <row r="91" ht="13" customHeight="1">
      <c r="A91" s="15" t="inlineStr">
        <is>
          <t>Jul 03 2026</t>
        </is>
      </c>
      <c r="B91" s="6" t="n">
        <v>25650</v>
      </c>
      <c r="C91" s="6" t="n">
        <v>20732</v>
      </c>
      <c r="D91" s="6" t="n">
        <v>17245</v>
      </c>
      <c r="E91" s="6" t="n">
        <v>72346</v>
      </c>
      <c r="F91" s="16" t="n">
        <v>19.73</v>
      </c>
      <c r="G91" s="16" t="n">
        <v>0.7</v>
      </c>
      <c r="H91" s="15" t="n"/>
      <c r="I91" s="6" t="n">
        <v>8</v>
      </c>
      <c r="J91" s="6" t="n">
        <v>0</v>
      </c>
      <c r="K91" s="6" t="n">
        <v>0</v>
      </c>
      <c r="L91" s="16" t="n">
        <v>27.61</v>
      </c>
      <c r="M91" s="16" t="n">
        <v>1670</v>
      </c>
      <c r="N91" s="15" t="n"/>
    </row>
    <row r="92" ht="13" customHeight="1">
      <c r="A92" s="17" t="inlineStr">
        <is>
          <t>Jul 03 2026</t>
        </is>
      </c>
      <c r="B92" s="4" t="n">
        <v>25700</v>
      </c>
      <c r="C92" s="4" t="n">
        <v>39316</v>
      </c>
      <c r="D92" s="4" t="n">
        <v>28297</v>
      </c>
      <c r="E92" s="4" t="n">
        <v>134053</v>
      </c>
      <c r="F92" s="18" t="n">
        <v>20.03</v>
      </c>
      <c r="G92" s="18" t="n">
        <v>0.6</v>
      </c>
      <c r="H92" s="18" t="n">
        <v>-0.05</v>
      </c>
      <c r="I92" s="4" t="n">
        <v>8</v>
      </c>
      <c r="J92" s="4" t="n">
        <v>0</v>
      </c>
      <c r="K92" s="4" t="n">
        <v>0</v>
      </c>
      <c r="L92" s="17" t="n"/>
      <c r="M92" s="18" t="n">
        <v>1697.75</v>
      </c>
      <c r="N92" s="18" t="n">
        <v>21.4</v>
      </c>
    </row>
    <row r="93" ht="13" customHeight="1">
      <c r="A93" s="15" t="inlineStr">
        <is>
          <t>Jul 03 2026</t>
        </is>
      </c>
      <c r="B93" s="6" t="n">
        <v>25750</v>
      </c>
      <c r="C93" s="6" t="n">
        <v>4117</v>
      </c>
      <c r="D93" s="6" t="n">
        <v>2209</v>
      </c>
      <c r="E93" s="6" t="n">
        <v>20482</v>
      </c>
      <c r="F93" s="16" t="n">
        <v>20.47</v>
      </c>
      <c r="G93" s="16" t="n">
        <v>0.55</v>
      </c>
      <c r="H93" s="16" t="n">
        <v>-0.1</v>
      </c>
      <c r="I93" s="6" t="n">
        <v>0</v>
      </c>
      <c r="J93" s="6" t="n">
        <v>0</v>
      </c>
      <c r="K93" s="6" t="n">
        <v>0</v>
      </c>
      <c r="L93" s="15" t="n"/>
      <c r="M93" s="15" t="n"/>
      <c r="N93" s="15" t="n"/>
    </row>
    <row r="94" ht="13" customHeight="1">
      <c r="A94" s="17" t="inlineStr">
        <is>
          <t>Jul 03 2026</t>
        </is>
      </c>
      <c r="B94" s="4" t="n">
        <v>25800</v>
      </c>
      <c r="C94" s="4" t="n">
        <v>42531</v>
      </c>
      <c r="D94" s="4" t="n">
        <v>18682</v>
      </c>
      <c r="E94" s="4" t="n">
        <v>149274</v>
      </c>
      <c r="F94" s="18" t="n">
        <v>21.08</v>
      </c>
      <c r="G94" s="18" t="n">
        <v>0.55</v>
      </c>
      <c r="H94" s="18" t="n">
        <v>-0.05</v>
      </c>
      <c r="I94" s="4" t="n">
        <v>42</v>
      </c>
      <c r="J94" s="4" t="n">
        <v>-1</v>
      </c>
      <c r="K94" s="4" t="n">
        <v>7</v>
      </c>
      <c r="L94" s="18" t="n">
        <v>33.31</v>
      </c>
      <c r="M94" s="18" t="n">
        <v>1516.05</v>
      </c>
      <c r="N94" s="18" t="n">
        <v>-88.95</v>
      </c>
    </row>
    <row r="95" ht="13" customHeight="1">
      <c r="A95" s="15" t="inlineStr">
        <is>
          <t>Jul 03 2026</t>
        </is>
      </c>
      <c r="B95" s="6" t="n">
        <v>25850</v>
      </c>
      <c r="C95" s="6" t="n">
        <v>5131</v>
      </c>
      <c r="D95" s="6" t="n">
        <v>3374</v>
      </c>
      <c r="E95" s="6" t="n">
        <v>18783</v>
      </c>
      <c r="F95" s="16" t="n">
        <v>21.69</v>
      </c>
      <c r="G95" s="16" t="n">
        <v>0.55</v>
      </c>
      <c r="H95" s="16" t="n">
        <v>-0.05</v>
      </c>
      <c r="I95" s="6" t="n">
        <v>4</v>
      </c>
      <c r="J95" s="6" t="n">
        <v>0</v>
      </c>
      <c r="K95" s="6" t="n">
        <v>0</v>
      </c>
      <c r="L95" s="15" t="n"/>
      <c r="M95" s="16" t="n">
        <v>1887.9</v>
      </c>
      <c r="N95" s="15" t="n"/>
    </row>
    <row r="96" ht="13" customHeight="1">
      <c r="A96" s="17" t="inlineStr">
        <is>
          <t>Jul 03 2026</t>
        </is>
      </c>
      <c r="B96" s="4" t="n">
        <v>25900</v>
      </c>
      <c r="C96" s="4" t="n">
        <v>12167</v>
      </c>
      <c r="D96" s="4" t="n">
        <v>7197</v>
      </c>
      <c r="E96" s="4" t="n">
        <v>45806</v>
      </c>
      <c r="F96" s="18" t="n">
        <v>21.86</v>
      </c>
      <c r="G96" s="18" t="n">
        <v>0.45</v>
      </c>
      <c r="H96" s="18" t="n">
        <v>-0.15</v>
      </c>
      <c r="I96" s="4" t="n">
        <v>0</v>
      </c>
      <c r="J96" s="4" t="n">
        <v>0</v>
      </c>
      <c r="K96" s="4" t="n">
        <v>0</v>
      </c>
      <c r="L96" s="17" t="n"/>
      <c r="M96" s="17" t="n"/>
      <c r="N96" s="17" t="n"/>
    </row>
    <row r="97" ht="13" customHeight="1">
      <c r="A97" s="15" t="inlineStr">
        <is>
          <t>Jul 03 2026</t>
        </is>
      </c>
      <c r="B97" s="6" t="n">
        <v>25950</v>
      </c>
      <c r="C97" s="6" t="n">
        <v>3843</v>
      </c>
      <c r="D97" s="6" t="n">
        <v>2499</v>
      </c>
      <c r="E97" s="6" t="n">
        <v>17902</v>
      </c>
      <c r="F97" s="16" t="n">
        <v>22.46</v>
      </c>
      <c r="G97" s="16" t="n">
        <v>0.45</v>
      </c>
      <c r="H97" s="16" t="n">
        <v>-0.1</v>
      </c>
      <c r="I97" s="6" t="n">
        <v>0</v>
      </c>
      <c r="J97" s="6" t="n">
        <v>0</v>
      </c>
      <c r="K97" s="6" t="n">
        <v>0</v>
      </c>
      <c r="L97" s="15" t="n"/>
      <c r="M97" s="15" t="n"/>
      <c r="N97" s="15" t="n"/>
    </row>
    <row r="98" ht="13" customHeight="1">
      <c r="A98" s="17" t="inlineStr">
        <is>
          <t>Jul 03 2026</t>
        </is>
      </c>
      <c r="B98" s="4" t="n">
        <v>26000</v>
      </c>
      <c r="C98" s="4" t="n">
        <v>85513</v>
      </c>
      <c r="D98" s="4" t="n">
        <v>41517</v>
      </c>
      <c r="E98" s="4" t="n">
        <v>291985</v>
      </c>
      <c r="F98" s="18" t="n">
        <v>22.79</v>
      </c>
      <c r="G98" s="18" t="n">
        <v>0.4</v>
      </c>
      <c r="H98" s="18" t="n">
        <v>-0.15</v>
      </c>
      <c r="I98" s="4" t="n">
        <v>1054</v>
      </c>
      <c r="J98" s="4" t="n">
        <v>-136</v>
      </c>
      <c r="K98" s="4" t="n">
        <v>356</v>
      </c>
      <c r="L98" s="18" t="n">
        <v>35.79</v>
      </c>
      <c r="M98" s="18" t="n">
        <v>1713.85</v>
      </c>
      <c r="N98" s="18" t="n">
        <v>-88.3</v>
      </c>
    </row>
    <row r="99" ht="13" customHeight="1">
      <c r="A99" s="15" t="inlineStr">
        <is>
          <t>Jul 03 2026</t>
        </is>
      </c>
      <c r="B99" s="6" t="n">
        <v>26050</v>
      </c>
      <c r="C99" s="6" t="n">
        <v>6029</v>
      </c>
      <c r="D99" s="6" t="n">
        <v>3736</v>
      </c>
      <c r="E99" s="6" t="n">
        <v>20392</v>
      </c>
      <c r="F99" s="16" t="n">
        <v>23.37</v>
      </c>
      <c r="G99" s="16" t="n">
        <v>0.4</v>
      </c>
      <c r="H99" s="16" t="n">
        <v>-0.15</v>
      </c>
      <c r="I99" s="6" t="n">
        <v>0</v>
      </c>
      <c r="J99" s="6" t="n">
        <v>0</v>
      </c>
      <c r="K99" s="6" t="n">
        <v>0</v>
      </c>
      <c r="L99" s="15" t="n"/>
      <c r="M99" s="15" t="n"/>
      <c r="N99" s="15" t="n"/>
    </row>
    <row r="100" ht="13" customHeight="1">
      <c r="A100" s="17" t="inlineStr">
        <is>
          <t>Jul 03 2026</t>
        </is>
      </c>
      <c r="B100" s="4" t="n">
        <v>26100</v>
      </c>
      <c r="C100" s="4" t="n">
        <v>11881</v>
      </c>
      <c r="D100" s="4" t="n">
        <v>6854</v>
      </c>
      <c r="E100" s="4" t="n">
        <v>60113</v>
      </c>
      <c r="F100" s="18" t="n">
        <v>24.22</v>
      </c>
      <c r="G100" s="18" t="n">
        <v>0.45</v>
      </c>
      <c r="H100" s="18" t="n">
        <v>-0.05</v>
      </c>
      <c r="I100" s="4" t="n">
        <v>0</v>
      </c>
      <c r="J100" s="4" t="n">
        <v>0</v>
      </c>
      <c r="K100" s="4" t="n">
        <v>0</v>
      </c>
      <c r="L100" s="17" t="n"/>
      <c r="M100" s="17" t="n"/>
      <c r="N100" s="17" t="n"/>
    </row>
    <row r="101" ht="13" customHeight="1">
      <c r="A101" s="15" t="inlineStr">
        <is>
          <t>Jul 03 2026</t>
        </is>
      </c>
      <c r="B101" s="6" t="n">
        <v>26150</v>
      </c>
      <c r="C101" s="6" t="n">
        <v>3808</v>
      </c>
      <c r="D101" s="6" t="n">
        <v>2998</v>
      </c>
      <c r="E101" s="6" t="n">
        <v>15524</v>
      </c>
      <c r="F101" s="16" t="n">
        <v>24.53</v>
      </c>
      <c r="G101" s="16" t="n">
        <v>0.4</v>
      </c>
      <c r="H101" s="16" t="n">
        <v>-0.1</v>
      </c>
      <c r="I101" s="6" t="n">
        <v>0</v>
      </c>
      <c r="J101" s="6" t="n">
        <v>0</v>
      </c>
      <c r="K101" s="6" t="n">
        <v>0</v>
      </c>
      <c r="L101" s="15" t="n"/>
      <c r="M101" s="15" t="n"/>
      <c r="N101" s="15" t="n"/>
    </row>
    <row r="102" ht="13" customHeight="1">
      <c r="A102" s="17" t="inlineStr">
        <is>
          <t>Jul 03 2026</t>
        </is>
      </c>
      <c r="B102" s="4" t="n">
        <v>26200</v>
      </c>
      <c r="C102" s="4" t="n">
        <v>11177</v>
      </c>
      <c r="D102" s="4" t="n">
        <v>7657</v>
      </c>
      <c r="E102" s="4" t="n">
        <v>39124</v>
      </c>
      <c r="F102" s="18" t="n">
        <v>24.8</v>
      </c>
      <c r="G102" s="18" t="n">
        <v>0.35</v>
      </c>
      <c r="H102" s="18" t="n">
        <v>-0.15</v>
      </c>
      <c r="I102" s="4" t="n">
        <v>10</v>
      </c>
      <c r="J102" s="4" t="n">
        <v>0</v>
      </c>
      <c r="K102" s="4" t="n">
        <v>0</v>
      </c>
      <c r="L102" s="17" t="n"/>
      <c r="M102" s="18" t="n">
        <v>2239.7</v>
      </c>
      <c r="N102" s="17" t="n"/>
    </row>
    <row r="103" ht="13" customHeight="1">
      <c r="A103" s="15" t="inlineStr">
        <is>
          <t>Jul 03 2026</t>
        </is>
      </c>
      <c r="B103" s="6" t="n">
        <v>26250</v>
      </c>
      <c r="C103" s="6" t="n">
        <v>4468</v>
      </c>
      <c r="D103" s="6" t="n">
        <v>2638</v>
      </c>
      <c r="E103" s="6" t="n">
        <v>14096</v>
      </c>
      <c r="F103" s="16" t="n">
        <v>25.37</v>
      </c>
      <c r="G103" s="16" t="n">
        <v>0.35</v>
      </c>
      <c r="H103" s="16" t="n">
        <v>-0.15</v>
      </c>
      <c r="I103" s="6" t="n">
        <v>0</v>
      </c>
      <c r="J103" s="6" t="n">
        <v>0</v>
      </c>
      <c r="K103" s="6" t="n">
        <v>0</v>
      </c>
      <c r="L103" s="15" t="n"/>
      <c r="M103" s="15" t="n"/>
      <c r="N103" s="15" t="n"/>
    </row>
    <row r="104" ht="13" customHeight="1">
      <c r="A104" s="17" t="inlineStr">
        <is>
          <t>Jul 03 2026</t>
        </is>
      </c>
      <c r="B104" s="4" t="n">
        <v>26300</v>
      </c>
      <c r="C104" s="4" t="n">
        <v>55744</v>
      </c>
      <c r="D104" s="4" t="n">
        <v>40386</v>
      </c>
      <c r="E104" s="4" t="n">
        <v>254985</v>
      </c>
      <c r="F104" s="18" t="n">
        <v>25.94</v>
      </c>
      <c r="G104" s="18" t="n">
        <v>0.35</v>
      </c>
      <c r="H104" s="18" t="n">
        <v>-0.1</v>
      </c>
      <c r="I104" s="4" t="n">
        <v>40</v>
      </c>
      <c r="J104" s="4" t="n">
        <v>0</v>
      </c>
      <c r="K104" s="4" t="n">
        <v>0</v>
      </c>
      <c r="L104" s="17" t="n"/>
      <c r="M104" s="18" t="n">
        <v>2315</v>
      </c>
      <c r="N104" s="18" t="n">
        <v>1.65</v>
      </c>
    </row>
  </sheetData>
  <mergeCells count="5">
    <mergeCell ref="A2:B2"/>
    <mergeCell ref="A4:N4"/>
    <mergeCell ref="J2:N2"/>
    <mergeCell ref="C2:I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2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" customWidth="1" min="21" max="21"/>
    <col width="14" customWidth="1" min="22" max="22"/>
    <col width="14" customWidth="1" min="23" max="23"/>
    <col width="14" customWidth="1" min="24" max="24"/>
    <col width="14" customWidth="1" min="25" max="25"/>
    <col width="2" customWidth="1" min="26" max="26"/>
  </cols>
  <sheetData>
    <row r="1" ht="22" customHeight="1">
      <c r="A1" s="1" t="inlineStr">
        <is>
          <t>NSE FAO — OI Dashboard</t>
        </is>
      </c>
    </row>
    <row r="2" ht="16" customHeight="1">
      <c r="A2" s="19" t="inlineStr">
        <is>
          <t>Metric</t>
        </is>
      </c>
      <c r="B2" s="19" t="inlineStr">
        <is>
          <t>Jun 29 2026</t>
        </is>
      </c>
      <c r="C2" s="20" t="n"/>
      <c r="D2" s="20" t="n"/>
      <c r="E2" s="20" t="n"/>
      <c r="F2" s="21" t="n"/>
      <c r="G2" s="19" t="inlineStr">
        <is>
          <t>Jun 30 2026</t>
        </is>
      </c>
      <c r="H2" s="20" t="n"/>
      <c r="I2" s="20" t="n"/>
      <c r="J2" s="20" t="n"/>
      <c r="K2" s="21" t="n"/>
      <c r="L2" s="19" t="inlineStr">
        <is>
          <t>Jul 01 2026</t>
        </is>
      </c>
      <c r="M2" s="20" t="n"/>
      <c r="N2" s="20" t="n"/>
      <c r="O2" s="20" t="n"/>
      <c r="P2" s="21" t="n"/>
      <c r="Q2" s="19" t="inlineStr">
        <is>
          <t>Jul 02 2026</t>
        </is>
      </c>
      <c r="R2" s="20" t="n"/>
      <c r="S2" s="20" t="n"/>
      <c r="T2" s="20" t="n"/>
      <c r="U2" s="21" t="n"/>
      <c r="V2" s="19" t="inlineStr">
        <is>
          <t>Jul 03 2026</t>
        </is>
      </c>
      <c r="W2" s="20" t="n"/>
      <c r="X2" s="20" t="n"/>
      <c r="Y2" s="20" t="n"/>
      <c r="Z2" s="21" t="n"/>
    </row>
    <row r="3" ht="16" customHeight="1">
      <c r="A3" s="22" t="inlineStr"/>
      <c r="B3" s="23" t="inlineStr">
        <is>
          <t>Client</t>
        </is>
      </c>
      <c r="C3" s="23" t="inlineStr">
        <is>
          <t>DII</t>
        </is>
      </c>
      <c r="D3" s="23" t="inlineStr">
        <is>
          <t>FII</t>
        </is>
      </c>
      <c r="E3" s="23" t="inlineStr">
        <is>
          <t>Pro</t>
        </is>
      </c>
      <c r="F3" s="24" t="n"/>
      <c r="G3" s="23" t="inlineStr">
        <is>
          <t>Client</t>
        </is>
      </c>
      <c r="H3" s="23" t="inlineStr">
        <is>
          <t>DII</t>
        </is>
      </c>
      <c r="I3" s="23" t="inlineStr">
        <is>
          <t>FII</t>
        </is>
      </c>
      <c r="J3" s="23" t="inlineStr">
        <is>
          <t>Pro</t>
        </is>
      </c>
      <c r="K3" s="24" t="n"/>
      <c r="L3" s="23" t="inlineStr">
        <is>
          <t>Client</t>
        </is>
      </c>
      <c r="M3" s="23" t="inlineStr">
        <is>
          <t>DII</t>
        </is>
      </c>
      <c r="N3" s="23" t="inlineStr">
        <is>
          <t>FII</t>
        </is>
      </c>
      <c r="O3" s="23" t="inlineStr">
        <is>
          <t>Pro</t>
        </is>
      </c>
      <c r="P3" s="24" t="n"/>
      <c r="Q3" s="23" t="inlineStr">
        <is>
          <t>Client</t>
        </is>
      </c>
      <c r="R3" s="23" t="inlineStr">
        <is>
          <t>DII</t>
        </is>
      </c>
      <c r="S3" s="23" t="inlineStr">
        <is>
          <t>FII</t>
        </is>
      </c>
      <c r="T3" s="23" t="inlineStr">
        <is>
          <t>Pro</t>
        </is>
      </c>
      <c r="U3" s="24" t="n"/>
      <c r="V3" s="23" t="inlineStr">
        <is>
          <t>Client</t>
        </is>
      </c>
      <c r="W3" s="23" t="inlineStr">
        <is>
          <t>DII</t>
        </is>
      </c>
      <c r="X3" s="23" t="inlineStr">
        <is>
          <t>FII</t>
        </is>
      </c>
      <c r="Y3" s="23" t="inlineStr">
        <is>
          <t>Pro</t>
        </is>
      </c>
      <c r="Z3" s="24" t="n"/>
    </row>
    <row r="4" ht="16" customHeight="1">
      <c r="A4" s="14" t="inlineStr">
        <is>
          <t>FUTURES — INDEX</t>
        </is>
      </c>
    </row>
    <row r="5" ht="14" customHeight="1">
      <c r="A5" s="25" t="inlineStr">
        <is>
          <t>Long OI</t>
        </is>
      </c>
      <c r="B5" s="4">
        <f>'Raw OI Data'!C3</f>
        <v/>
      </c>
      <c r="C5" s="4">
        <f>'Raw OI Data'!C4</f>
        <v/>
      </c>
      <c r="D5" s="4">
        <f>'Raw OI Data'!C5</f>
        <v/>
      </c>
      <c r="E5" s="4">
        <f>'Raw OI Data'!C6</f>
        <v/>
      </c>
      <c r="F5" s="26" t="n"/>
      <c r="G5" s="4">
        <f>'Raw OI Data'!C7</f>
        <v/>
      </c>
      <c r="H5" s="4">
        <f>'Raw OI Data'!C8</f>
        <v/>
      </c>
      <c r="I5" s="4">
        <f>'Raw OI Data'!C9</f>
        <v/>
      </c>
      <c r="J5" s="4">
        <f>'Raw OI Data'!C10</f>
        <v/>
      </c>
      <c r="K5" s="26" t="n"/>
      <c r="L5" s="4">
        <f>'Raw OI Data'!C11</f>
        <v/>
      </c>
      <c r="M5" s="4">
        <f>'Raw OI Data'!C12</f>
        <v/>
      </c>
      <c r="N5" s="4">
        <f>'Raw OI Data'!C13</f>
        <v/>
      </c>
      <c r="O5" s="4">
        <f>'Raw OI Data'!C14</f>
        <v/>
      </c>
      <c r="P5" s="26" t="n"/>
      <c r="Q5" s="4">
        <f>'Raw OI Data'!C15</f>
        <v/>
      </c>
      <c r="R5" s="4">
        <f>'Raw OI Data'!C16</f>
        <v/>
      </c>
      <c r="S5" s="4">
        <f>'Raw OI Data'!C17</f>
        <v/>
      </c>
      <c r="T5" s="4">
        <f>'Raw OI Data'!C18</f>
        <v/>
      </c>
      <c r="U5" s="26" t="n"/>
      <c r="V5" s="4">
        <f>'Raw OI Data'!C19</f>
        <v/>
      </c>
      <c r="W5" s="4">
        <f>'Raw OI Data'!C20</f>
        <v/>
      </c>
      <c r="X5" s="4">
        <f>'Raw OI Data'!C21</f>
        <v/>
      </c>
      <c r="Y5" s="4">
        <f>'Raw OI Data'!C22</f>
        <v/>
      </c>
      <c r="Z5" s="26" t="n"/>
    </row>
    <row r="6" ht="14" customHeight="1">
      <c r="A6" s="25" t="inlineStr">
        <is>
          <t>Short OI</t>
        </is>
      </c>
      <c r="B6" s="6">
        <f>'Raw OI Data'!D3</f>
        <v/>
      </c>
      <c r="C6" s="6">
        <f>'Raw OI Data'!D4</f>
        <v/>
      </c>
      <c r="D6" s="6">
        <f>'Raw OI Data'!D5</f>
        <v/>
      </c>
      <c r="E6" s="6">
        <f>'Raw OI Data'!D6</f>
        <v/>
      </c>
      <c r="F6" s="27" t="n"/>
      <c r="G6" s="6">
        <f>'Raw OI Data'!D7</f>
        <v/>
      </c>
      <c r="H6" s="6">
        <f>'Raw OI Data'!D8</f>
        <v/>
      </c>
      <c r="I6" s="6">
        <f>'Raw OI Data'!D9</f>
        <v/>
      </c>
      <c r="J6" s="6">
        <f>'Raw OI Data'!D10</f>
        <v/>
      </c>
      <c r="K6" s="27" t="n"/>
      <c r="L6" s="6">
        <f>'Raw OI Data'!D11</f>
        <v/>
      </c>
      <c r="M6" s="6">
        <f>'Raw OI Data'!D12</f>
        <v/>
      </c>
      <c r="N6" s="6">
        <f>'Raw OI Data'!D13</f>
        <v/>
      </c>
      <c r="O6" s="6">
        <f>'Raw OI Data'!D14</f>
        <v/>
      </c>
      <c r="P6" s="27" t="n"/>
      <c r="Q6" s="6">
        <f>'Raw OI Data'!D15</f>
        <v/>
      </c>
      <c r="R6" s="6">
        <f>'Raw OI Data'!D16</f>
        <v/>
      </c>
      <c r="S6" s="6">
        <f>'Raw OI Data'!D17</f>
        <v/>
      </c>
      <c r="T6" s="6">
        <f>'Raw OI Data'!D18</f>
        <v/>
      </c>
      <c r="U6" s="27" t="n"/>
      <c r="V6" s="6">
        <f>'Raw OI Data'!D19</f>
        <v/>
      </c>
      <c r="W6" s="6">
        <f>'Raw OI Data'!D20</f>
        <v/>
      </c>
      <c r="X6" s="6">
        <f>'Raw OI Data'!D21</f>
        <v/>
      </c>
      <c r="Y6" s="6">
        <f>'Raw OI Data'!D22</f>
        <v/>
      </c>
      <c r="Z6" s="27" t="n"/>
    </row>
    <row r="7" ht="14" customHeight="1">
      <c r="A7" s="25" t="inlineStr">
        <is>
          <t>Net OI (L−S)</t>
        </is>
      </c>
      <c r="B7" s="28">
        <f>'Raw OI Data'!C3-'Raw OI Data'!D3</f>
        <v/>
      </c>
      <c r="C7" s="28">
        <f>'Raw OI Data'!C4-'Raw OI Data'!D4</f>
        <v/>
      </c>
      <c r="D7" s="28">
        <f>'Raw OI Data'!C5-'Raw OI Data'!D5</f>
        <v/>
      </c>
      <c r="E7" s="28">
        <f>'Raw OI Data'!C6-'Raw OI Data'!D6</f>
        <v/>
      </c>
      <c r="F7" s="26" t="n"/>
      <c r="G7" s="28">
        <f>'Raw OI Data'!C7-'Raw OI Data'!D7</f>
        <v/>
      </c>
      <c r="H7" s="28">
        <f>'Raw OI Data'!C8-'Raw OI Data'!D8</f>
        <v/>
      </c>
      <c r="I7" s="28">
        <f>'Raw OI Data'!C9-'Raw OI Data'!D9</f>
        <v/>
      </c>
      <c r="J7" s="28">
        <f>'Raw OI Data'!C10-'Raw OI Data'!D10</f>
        <v/>
      </c>
      <c r="K7" s="26" t="n"/>
      <c r="L7" s="28">
        <f>'Raw OI Data'!C11-'Raw OI Data'!D11</f>
        <v/>
      </c>
      <c r="M7" s="28">
        <f>'Raw OI Data'!C12-'Raw OI Data'!D12</f>
        <v/>
      </c>
      <c r="N7" s="28">
        <f>'Raw OI Data'!C13-'Raw OI Data'!D13</f>
        <v/>
      </c>
      <c r="O7" s="28">
        <f>'Raw OI Data'!C14-'Raw OI Data'!D14</f>
        <v/>
      </c>
      <c r="P7" s="26" t="n"/>
      <c r="Q7" s="28">
        <f>'Raw OI Data'!C15-'Raw OI Data'!D15</f>
        <v/>
      </c>
      <c r="R7" s="28">
        <f>'Raw OI Data'!C16-'Raw OI Data'!D16</f>
        <v/>
      </c>
      <c r="S7" s="28">
        <f>'Raw OI Data'!C17-'Raw OI Data'!D17</f>
        <v/>
      </c>
      <c r="T7" s="28">
        <f>'Raw OI Data'!C18-'Raw OI Data'!D18</f>
        <v/>
      </c>
      <c r="U7" s="26" t="n"/>
      <c r="V7" s="28">
        <f>'Raw OI Data'!C19-'Raw OI Data'!D19</f>
        <v/>
      </c>
      <c r="W7" s="28">
        <f>'Raw OI Data'!C20-'Raw OI Data'!D20</f>
        <v/>
      </c>
      <c r="X7" s="28">
        <f>'Raw OI Data'!C21-'Raw OI Data'!D21</f>
        <v/>
      </c>
      <c r="Y7" s="28">
        <f>'Raw OI Data'!C22-'Raw OI Data'!D22</f>
        <v/>
      </c>
      <c r="Z7" s="26" t="n"/>
    </row>
    <row r="8" ht="14" customHeight="1">
      <c r="A8" s="25" t="inlineStr">
        <is>
          <t>L/S Ratio</t>
        </is>
      </c>
      <c r="B8" s="29">
        <f>IFERROR('Raw OI Data'!C3/'Raw OI Data'!D3,0)</f>
        <v/>
      </c>
      <c r="C8" s="29">
        <f>IFERROR('Raw OI Data'!C4/'Raw OI Data'!D4,0)</f>
        <v/>
      </c>
      <c r="D8" s="29">
        <f>IFERROR('Raw OI Data'!C5/'Raw OI Data'!D5,0)</f>
        <v/>
      </c>
      <c r="E8" s="29">
        <f>IFERROR('Raw OI Data'!C6/'Raw OI Data'!D6,0)</f>
        <v/>
      </c>
      <c r="F8" s="27" t="n"/>
      <c r="G8" s="29">
        <f>IFERROR('Raw OI Data'!C7/'Raw OI Data'!D7,0)</f>
        <v/>
      </c>
      <c r="H8" s="29">
        <f>IFERROR('Raw OI Data'!C8/'Raw OI Data'!D8,0)</f>
        <v/>
      </c>
      <c r="I8" s="29">
        <f>IFERROR('Raw OI Data'!C9/'Raw OI Data'!D9,0)</f>
        <v/>
      </c>
      <c r="J8" s="29">
        <f>IFERROR('Raw OI Data'!C10/'Raw OI Data'!D10,0)</f>
        <v/>
      </c>
      <c r="K8" s="27" t="n"/>
      <c r="L8" s="29">
        <f>IFERROR('Raw OI Data'!C11/'Raw OI Data'!D11,0)</f>
        <v/>
      </c>
      <c r="M8" s="29">
        <f>IFERROR('Raw OI Data'!C12/'Raw OI Data'!D12,0)</f>
        <v/>
      </c>
      <c r="N8" s="29">
        <f>IFERROR('Raw OI Data'!C13/'Raw OI Data'!D13,0)</f>
        <v/>
      </c>
      <c r="O8" s="29">
        <f>IFERROR('Raw OI Data'!C14/'Raw OI Data'!D14,0)</f>
        <v/>
      </c>
      <c r="P8" s="27" t="n"/>
      <c r="Q8" s="29">
        <f>IFERROR('Raw OI Data'!C15/'Raw OI Data'!D15,0)</f>
        <v/>
      </c>
      <c r="R8" s="29">
        <f>IFERROR('Raw OI Data'!C16/'Raw OI Data'!D16,0)</f>
        <v/>
      </c>
      <c r="S8" s="29">
        <f>IFERROR('Raw OI Data'!C17/'Raw OI Data'!D17,0)</f>
        <v/>
      </c>
      <c r="T8" s="29">
        <f>IFERROR('Raw OI Data'!C18/'Raw OI Data'!D18,0)</f>
        <v/>
      </c>
      <c r="U8" s="27" t="n"/>
      <c r="V8" s="29">
        <f>IFERROR('Raw OI Data'!C19/'Raw OI Data'!D19,0)</f>
        <v/>
      </c>
      <c r="W8" s="29">
        <f>IFERROR('Raw OI Data'!C20/'Raw OI Data'!D20,0)</f>
        <v/>
      </c>
      <c r="X8" s="29">
        <f>IFERROR('Raw OI Data'!C21/'Raw OI Data'!D21,0)</f>
        <v/>
      </c>
      <c r="Y8" s="29">
        <f>IFERROR('Raw OI Data'!C22/'Raw OI Data'!D22,0)</f>
        <v/>
      </c>
      <c r="Z8" s="27" t="n"/>
    </row>
    <row r="9" ht="16" customHeight="1">
      <c r="A9" s="14" t="inlineStr">
        <is>
          <t>FUTURES — STOCK</t>
        </is>
      </c>
    </row>
    <row r="10" ht="14" customHeight="1">
      <c r="A10" s="25" t="inlineStr">
        <is>
          <t>Long OI</t>
        </is>
      </c>
      <c r="B10" s="4">
        <f>'Raw OI Data'!E3</f>
        <v/>
      </c>
      <c r="C10" s="4">
        <f>'Raw OI Data'!E4</f>
        <v/>
      </c>
      <c r="D10" s="4">
        <f>'Raw OI Data'!E5</f>
        <v/>
      </c>
      <c r="E10" s="4">
        <f>'Raw OI Data'!E6</f>
        <v/>
      </c>
      <c r="F10" s="26" t="n"/>
      <c r="G10" s="4">
        <f>'Raw OI Data'!E7</f>
        <v/>
      </c>
      <c r="H10" s="4">
        <f>'Raw OI Data'!E8</f>
        <v/>
      </c>
      <c r="I10" s="4">
        <f>'Raw OI Data'!E9</f>
        <v/>
      </c>
      <c r="J10" s="4">
        <f>'Raw OI Data'!E10</f>
        <v/>
      </c>
      <c r="K10" s="26" t="n"/>
      <c r="L10" s="4">
        <f>'Raw OI Data'!E11</f>
        <v/>
      </c>
      <c r="M10" s="4">
        <f>'Raw OI Data'!E12</f>
        <v/>
      </c>
      <c r="N10" s="4">
        <f>'Raw OI Data'!E13</f>
        <v/>
      </c>
      <c r="O10" s="4">
        <f>'Raw OI Data'!E14</f>
        <v/>
      </c>
      <c r="P10" s="26" t="n"/>
      <c r="Q10" s="4">
        <f>'Raw OI Data'!E15</f>
        <v/>
      </c>
      <c r="R10" s="4">
        <f>'Raw OI Data'!E16</f>
        <v/>
      </c>
      <c r="S10" s="4">
        <f>'Raw OI Data'!E17</f>
        <v/>
      </c>
      <c r="T10" s="4">
        <f>'Raw OI Data'!E18</f>
        <v/>
      </c>
      <c r="U10" s="26" t="n"/>
      <c r="V10" s="4">
        <f>'Raw OI Data'!E19</f>
        <v/>
      </c>
      <c r="W10" s="4">
        <f>'Raw OI Data'!E20</f>
        <v/>
      </c>
      <c r="X10" s="4">
        <f>'Raw OI Data'!E21</f>
        <v/>
      </c>
      <c r="Y10" s="4">
        <f>'Raw OI Data'!E22</f>
        <v/>
      </c>
      <c r="Z10" s="26" t="n"/>
    </row>
    <row r="11" ht="14" customHeight="1">
      <c r="A11" s="25" t="inlineStr">
        <is>
          <t>Short OI</t>
        </is>
      </c>
      <c r="B11" s="6">
        <f>'Raw OI Data'!F3</f>
        <v/>
      </c>
      <c r="C11" s="6">
        <f>'Raw OI Data'!F4</f>
        <v/>
      </c>
      <c r="D11" s="6">
        <f>'Raw OI Data'!F5</f>
        <v/>
      </c>
      <c r="E11" s="6">
        <f>'Raw OI Data'!F6</f>
        <v/>
      </c>
      <c r="F11" s="27" t="n"/>
      <c r="G11" s="6">
        <f>'Raw OI Data'!F7</f>
        <v/>
      </c>
      <c r="H11" s="6">
        <f>'Raw OI Data'!F8</f>
        <v/>
      </c>
      <c r="I11" s="6">
        <f>'Raw OI Data'!F9</f>
        <v/>
      </c>
      <c r="J11" s="6">
        <f>'Raw OI Data'!F10</f>
        <v/>
      </c>
      <c r="K11" s="27" t="n"/>
      <c r="L11" s="6">
        <f>'Raw OI Data'!F11</f>
        <v/>
      </c>
      <c r="M11" s="6">
        <f>'Raw OI Data'!F12</f>
        <v/>
      </c>
      <c r="N11" s="6">
        <f>'Raw OI Data'!F13</f>
        <v/>
      </c>
      <c r="O11" s="6">
        <f>'Raw OI Data'!F14</f>
        <v/>
      </c>
      <c r="P11" s="27" t="n"/>
      <c r="Q11" s="6">
        <f>'Raw OI Data'!F15</f>
        <v/>
      </c>
      <c r="R11" s="6">
        <f>'Raw OI Data'!F16</f>
        <v/>
      </c>
      <c r="S11" s="6">
        <f>'Raw OI Data'!F17</f>
        <v/>
      </c>
      <c r="T11" s="6">
        <f>'Raw OI Data'!F18</f>
        <v/>
      </c>
      <c r="U11" s="27" t="n"/>
      <c r="V11" s="6">
        <f>'Raw OI Data'!F19</f>
        <v/>
      </c>
      <c r="W11" s="6">
        <f>'Raw OI Data'!F20</f>
        <v/>
      </c>
      <c r="X11" s="6">
        <f>'Raw OI Data'!F21</f>
        <v/>
      </c>
      <c r="Y11" s="6">
        <f>'Raw OI Data'!F22</f>
        <v/>
      </c>
      <c r="Z11" s="27" t="n"/>
    </row>
    <row r="12" ht="14" customHeight="1">
      <c r="A12" s="25" t="inlineStr">
        <is>
          <t>Net OI (L−S)</t>
        </is>
      </c>
      <c r="B12" s="28">
        <f>'Raw OI Data'!E3-'Raw OI Data'!F3</f>
        <v/>
      </c>
      <c r="C12" s="28">
        <f>'Raw OI Data'!E4-'Raw OI Data'!F4</f>
        <v/>
      </c>
      <c r="D12" s="28">
        <f>'Raw OI Data'!E5-'Raw OI Data'!F5</f>
        <v/>
      </c>
      <c r="E12" s="28">
        <f>'Raw OI Data'!E6-'Raw OI Data'!F6</f>
        <v/>
      </c>
      <c r="F12" s="26" t="n"/>
      <c r="G12" s="28">
        <f>'Raw OI Data'!E7-'Raw OI Data'!F7</f>
        <v/>
      </c>
      <c r="H12" s="28">
        <f>'Raw OI Data'!E8-'Raw OI Data'!F8</f>
        <v/>
      </c>
      <c r="I12" s="28">
        <f>'Raw OI Data'!E9-'Raw OI Data'!F9</f>
        <v/>
      </c>
      <c r="J12" s="28">
        <f>'Raw OI Data'!E10-'Raw OI Data'!F10</f>
        <v/>
      </c>
      <c r="K12" s="26" t="n"/>
      <c r="L12" s="28">
        <f>'Raw OI Data'!E11-'Raw OI Data'!F11</f>
        <v/>
      </c>
      <c r="M12" s="28">
        <f>'Raw OI Data'!E12-'Raw OI Data'!F12</f>
        <v/>
      </c>
      <c r="N12" s="28">
        <f>'Raw OI Data'!E13-'Raw OI Data'!F13</f>
        <v/>
      </c>
      <c r="O12" s="28">
        <f>'Raw OI Data'!E14-'Raw OI Data'!F14</f>
        <v/>
      </c>
      <c r="P12" s="26" t="n"/>
      <c r="Q12" s="28">
        <f>'Raw OI Data'!E15-'Raw OI Data'!F15</f>
        <v/>
      </c>
      <c r="R12" s="28">
        <f>'Raw OI Data'!E16-'Raw OI Data'!F16</f>
        <v/>
      </c>
      <c r="S12" s="28">
        <f>'Raw OI Data'!E17-'Raw OI Data'!F17</f>
        <v/>
      </c>
      <c r="T12" s="28">
        <f>'Raw OI Data'!E18-'Raw OI Data'!F18</f>
        <v/>
      </c>
      <c r="U12" s="26" t="n"/>
      <c r="V12" s="28">
        <f>'Raw OI Data'!E19-'Raw OI Data'!F19</f>
        <v/>
      </c>
      <c r="W12" s="28">
        <f>'Raw OI Data'!E20-'Raw OI Data'!F20</f>
        <v/>
      </c>
      <c r="X12" s="28">
        <f>'Raw OI Data'!E21-'Raw OI Data'!F21</f>
        <v/>
      </c>
      <c r="Y12" s="28">
        <f>'Raw OI Data'!E22-'Raw OI Data'!F22</f>
        <v/>
      </c>
      <c r="Z12" s="26" t="n"/>
    </row>
    <row r="13" ht="14" customHeight="1">
      <c r="A13" s="25" t="inlineStr">
        <is>
          <t>L/S Ratio</t>
        </is>
      </c>
      <c r="B13" s="29">
        <f>IFERROR('Raw OI Data'!E3/'Raw OI Data'!F3,0)</f>
        <v/>
      </c>
      <c r="C13" s="29">
        <f>IFERROR('Raw OI Data'!E4/'Raw OI Data'!F4,0)</f>
        <v/>
      </c>
      <c r="D13" s="29">
        <f>IFERROR('Raw OI Data'!E5/'Raw OI Data'!F5,0)</f>
        <v/>
      </c>
      <c r="E13" s="29">
        <f>IFERROR('Raw OI Data'!E6/'Raw OI Data'!F6,0)</f>
        <v/>
      </c>
      <c r="F13" s="27" t="n"/>
      <c r="G13" s="29">
        <f>IFERROR('Raw OI Data'!E7/'Raw OI Data'!F7,0)</f>
        <v/>
      </c>
      <c r="H13" s="29">
        <f>IFERROR('Raw OI Data'!E8/'Raw OI Data'!F8,0)</f>
        <v/>
      </c>
      <c r="I13" s="29">
        <f>IFERROR('Raw OI Data'!E9/'Raw OI Data'!F9,0)</f>
        <v/>
      </c>
      <c r="J13" s="29">
        <f>IFERROR('Raw OI Data'!E10/'Raw OI Data'!F10,0)</f>
        <v/>
      </c>
      <c r="K13" s="27" t="n"/>
      <c r="L13" s="29">
        <f>IFERROR('Raw OI Data'!E11/'Raw OI Data'!F11,0)</f>
        <v/>
      </c>
      <c r="M13" s="29">
        <f>IFERROR('Raw OI Data'!E12/'Raw OI Data'!F12,0)</f>
        <v/>
      </c>
      <c r="N13" s="29">
        <f>IFERROR('Raw OI Data'!E13/'Raw OI Data'!F13,0)</f>
        <v/>
      </c>
      <c r="O13" s="29">
        <f>IFERROR('Raw OI Data'!E14/'Raw OI Data'!F14,0)</f>
        <v/>
      </c>
      <c r="P13" s="27" t="n"/>
      <c r="Q13" s="29">
        <f>IFERROR('Raw OI Data'!E15/'Raw OI Data'!F15,0)</f>
        <v/>
      </c>
      <c r="R13" s="29">
        <f>IFERROR('Raw OI Data'!E16/'Raw OI Data'!F16,0)</f>
        <v/>
      </c>
      <c r="S13" s="29">
        <f>IFERROR('Raw OI Data'!E17/'Raw OI Data'!F17,0)</f>
        <v/>
      </c>
      <c r="T13" s="29">
        <f>IFERROR('Raw OI Data'!E18/'Raw OI Data'!F18,0)</f>
        <v/>
      </c>
      <c r="U13" s="27" t="n"/>
      <c r="V13" s="29">
        <f>IFERROR('Raw OI Data'!E19/'Raw OI Data'!F19,0)</f>
        <v/>
      </c>
      <c r="W13" s="29">
        <f>IFERROR('Raw OI Data'!E20/'Raw OI Data'!F20,0)</f>
        <v/>
      </c>
      <c r="X13" s="29">
        <f>IFERROR('Raw OI Data'!E21/'Raw OI Data'!F21,0)</f>
        <v/>
      </c>
      <c r="Y13" s="29">
        <f>IFERROR('Raw OI Data'!E22/'Raw OI Data'!F22,0)</f>
        <v/>
      </c>
      <c r="Z13" s="27" t="n"/>
    </row>
    <row r="14" ht="16" customHeight="1">
      <c r="A14" s="14" t="inlineStr">
        <is>
          <t>OPTIONS — INDEX CALLS</t>
        </is>
      </c>
    </row>
    <row r="15" ht="14" customHeight="1">
      <c r="A15" s="25" t="inlineStr">
        <is>
          <t>Call Long OI</t>
        </is>
      </c>
      <c r="B15" s="4">
        <f>'Raw OI Data'!G3</f>
        <v/>
      </c>
      <c r="C15" s="4">
        <f>'Raw OI Data'!G4</f>
        <v/>
      </c>
      <c r="D15" s="4">
        <f>'Raw OI Data'!G5</f>
        <v/>
      </c>
      <c r="E15" s="4">
        <f>'Raw OI Data'!G6</f>
        <v/>
      </c>
      <c r="F15" s="26" t="n"/>
      <c r="G15" s="4">
        <f>'Raw OI Data'!G7</f>
        <v/>
      </c>
      <c r="H15" s="4">
        <f>'Raw OI Data'!G8</f>
        <v/>
      </c>
      <c r="I15" s="4">
        <f>'Raw OI Data'!G9</f>
        <v/>
      </c>
      <c r="J15" s="4">
        <f>'Raw OI Data'!G10</f>
        <v/>
      </c>
      <c r="K15" s="26" t="n"/>
      <c r="L15" s="4">
        <f>'Raw OI Data'!G11</f>
        <v/>
      </c>
      <c r="M15" s="4">
        <f>'Raw OI Data'!G12</f>
        <v/>
      </c>
      <c r="N15" s="4">
        <f>'Raw OI Data'!G13</f>
        <v/>
      </c>
      <c r="O15" s="4">
        <f>'Raw OI Data'!G14</f>
        <v/>
      </c>
      <c r="P15" s="26" t="n"/>
      <c r="Q15" s="4">
        <f>'Raw OI Data'!G15</f>
        <v/>
      </c>
      <c r="R15" s="4">
        <f>'Raw OI Data'!G16</f>
        <v/>
      </c>
      <c r="S15" s="4">
        <f>'Raw OI Data'!G17</f>
        <v/>
      </c>
      <c r="T15" s="4">
        <f>'Raw OI Data'!G18</f>
        <v/>
      </c>
      <c r="U15" s="26" t="n"/>
      <c r="V15" s="4">
        <f>'Raw OI Data'!G19</f>
        <v/>
      </c>
      <c r="W15" s="4">
        <f>'Raw OI Data'!G20</f>
        <v/>
      </c>
      <c r="X15" s="4">
        <f>'Raw OI Data'!G21</f>
        <v/>
      </c>
      <c r="Y15" s="4">
        <f>'Raw OI Data'!G22</f>
        <v/>
      </c>
      <c r="Z15" s="26" t="n"/>
    </row>
    <row r="16" ht="14" customHeight="1">
      <c r="A16" s="25" t="inlineStr">
        <is>
          <t>Call Short OI</t>
        </is>
      </c>
      <c r="B16" s="6">
        <f>'Raw OI Data'!I3</f>
        <v/>
      </c>
      <c r="C16" s="6">
        <f>'Raw OI Data'!I4</f>
        <v/>
      </c>
      <c r="D16" s="6">
        <f>'Raw OI Data'!I5</f>
        <v/>
      </c>
      <c r="E16" s="6">
        <f>'Raw OI Data'!I6</f>
        <v/>
      </c>
      <c r="F16" s="27" t="n"/>
      <c r="G16" s="6">
        <f>'Raw OI Data'!I7</f>
        <v/>
      </c>
      <c r="H16" s="6">
        <f>'Raw OI Data'!I8</f>
        <v/>
      </c>
      <c r="I16" s="6">
        <f>'Raw OI Data'!I9</f>
        <v/>
      </c>
      <c r="J16" s="6">
        <f>'Raw OI Data'!I10</f>
        <v/>
      </c>
      <c r="K16" s="27" t="n"/>
      <c r="L16" s="6">
        <f>'Raw OI Data'!I11</f>
        <v/>
      </c>
      <c r="M16" s="6">
        <f>'Raw OI Data'!I12</f>
        <v/>
      </c>
      <c r="N16" s="6">
        <f>'Raw OI Data'!I13</f>
        <v/>
      </c>
      <c r="O16" s="6">
        <f>'Raw OI Data'!I14</f>
        <v/>
      </c>
      <c r="P16" s="27" t="n"/>
      <c r="Q16" s="6">
        <f>'Raw OI Data'!I15</f>
        <v/>
      </c>
      <c r="R16" s="6">
        <f>'Raw OI Data'!I16</f>
        <v/>
      </c>
      <c r="S16" s="6">
        <f>'Raw OI Data'!I17</f>
        <v/>
      </c>
      <c r="T16" s="6">
        <f>'Raw OI Data'!I18</f>
        <v/>
      </c>
      <c r="U16" s="27" t="n"/>
      <c r="V16" s="6">
        <f>'Raw OI Data'!I19</f>
        <v/>
      </c>
      <c r="W16" s="6">
        <f>'Raw OI Data'!I20</f>
        <v/>
      </c>
      <c r="X16" s="6">
        <f>'Raw OI Data'!I21</f>
        <v/>
      </c>
      <c r="Y16" s="6">
        <f>'Raw OI Data'!I22</f>
        <v/>
      </c>
      <c r="Z16" s="27" t="n"/>
    </row>
    <row r="17" ht="14" customHeight="1">
      <c r="A17" s="25" t="inlineStr">
        <is>
          <t>Net Call OI</t>
        </is>
      </c>
      <c r="B17" s="28">
        <f>'Raw OI Data'!G3-'Raw OI Data'!I3</f>
        <v/>
      </c>
      <c r="C17" s="28">
        <f>'Raw OI Data'!G4-'Raw OI Data'!I4</f>
        <v/>
      </c>
      <c r="D17" s="28">
        <f>'Raw OI Data'!G5-'Raw OI Data'!I5</f>
        <v/>
      </c>
      <c r="E17" s="28">
        <f>'Raw OI Data'!G6-'Raw OI Data'!I6</f>
        <v/>
      </c>
      <c r="F17" s="26" t="n"/>
      <c r="G17" s="28">
        <f>'Raw OI Data'!G7-'Raw OI Data'!I7</f>
        <v/>
      </c>
      <c r="H17" s="28">
        <f>'Raw OI Data'!G8-'Raw OI Data'!I8</f>
        <v/>
      </c>
      <c r="I17" s="28">
        <f>'Raw OI Data'!G9-'Raw OI Data'!I9</f>
        <v/>
      </c>
      <c r="J17" s="28">
        <f>'Raw OI Data'!G10-'Raw OI Data'!I10</f>
        <v/>
      </c>
      <c r="K17" s="26" t="n"/>
      <c r="L17" s="28">
        <f>'Raw OI Data'!G11-'Raw OI Data'!I11</f>
        <v/>
      </c>
      <c r="M17" s="28">
        <f>'Raw OI Data'!G12-'Raw OI Data'!I12</f>
        <v/>
      </c>
      <c r="N17" s="28">
        <f>'Raw OI Data'!G13-'Raw OI Data'!I13</f>
        <v/>
      </c>
      <c r="O17" s="28">
        <f>'Raw OI Data'!G14-'Raw OI Data'!I14</f>
        <v/>
      </c>
      <c r="P17" s="26" t="n"/>
      <c r="Q17" s="28">
        <f>'Raw OI Data'!G15-'Raw OI Data'!I15</f>
        <v/>
      </c>
      <c r="R17" s="28">
        <f>'Raw OI Data'!G16-'Raw OI Data'!I16</f>
        <v/>
      </c>
      <c r="S17" s="28">
        <f>'Raw OI Data'!G17-'Raw OI Data'!I17</f>
        <v/>
      </c>
      <c r="T17" s="28">
        <f>'Raw OI Data'!G18-'Raw OI Data'!I18</f>
        <v/>
      </c>
      <c r="U17" s="26" t="n"/>
      <c r="V17" s="28">
        <f>'Raw OI Data'!G19-'Raw OI Data'!I19</f>
        <v/>
      </c>
      <c r="W17" s="28">
        <f>'Raw OI Data'!G20-'Raw OI Data'!I20</f>
        <v/>
      </c>
      <c r="X17" s="28">
        <f>'Raw OI Data'!G21-'Raw OI Data'!I21</f>
        <v/>
      </c>
      <c r="Y17" s="28">
        <f>'Raw OI Data'!G22-'Raw OI Data'!I22</f>
        <v/>
      </c>
      <c r="Z17" s="26" t="n"/>
    </row>
    <row r="18" ht="16" customHeight="1">
      <c r="A18" s="14" t="inlineStr">
        <is>
          <t>OPTIONS — INDEX PUTS</t>
        </is>
      </c>
    </row>
    <row r="19" ht="14" customHeight="1">
      <c r="A19" s="25" t="inlineStr">
        <is>
          <t>Put Long OI</t>
        </is>
      </c>
      <c r="B19" s="4">
        <f>'Raw OI Data'!H3</f>
        <v/>
      </c>
      <c r="C19" s="4">
        <f>'Raw OI Data'!H4</f>
        <v/>
      </c>
      <c r="D19" s="4">
        <f>'Raw OI Data'!H5</f>
        <v/>
      </c>
      <c r="E19" s="4">
        <f>'Raw OI Data'!H6</f>
        <v/>
      </c>
      <c r="F19" s="26" t="n"/>
      <c r="G19" s="4">
        <f>'Raw OI Data'!H7</f>
        <v/>
      </c>
      <c r="H19" s="4">
        <f>'Raw OI Data'!H8</f>
        <v/>
      </c>
      <c r="I19" s="4">
        <f>'Raw OI Data'!H9</f>
        <v/>
      </c>
      <c r="J19" s="4">
        <f>'Raw OI Data'!H10</f>
        <v/>
      </c>
      <c r="K19" s="26" t="n"/>
      <c r="L19" s="4">
        <f>'Raw OI Data'!H11</f>
        <v/>
      </c>
      <c r="M19" s="4">
        <f>'Raw OI Data'!H12</f>
        <v/>
      </c>
      <c r="N19" s="4">
        <f>'Raw OI Data'!H13</f>
        <v/>
      </c>
      <c r="O19" s="4">
        <f>'Raw OI Data'!H14</f>
        <v/>
      </c>
      <c r="P19" s="26" t="n"/>
      <c r="Q19" s="4">
        <f>'Raw OI Data'!H15</f>
        <v/>
      </c>
      <c r="R19" s="4">
        <f>'Raw OI Data'!H16</f>
        <v/>
      </c>
      <c r="S19" s="4">
        <f>'Raw OI Data'!H17</f>
        <v/>
      </c>
      <c r="T19" s="4">
        <f>'Raw OI Data'!H18</f>
        <v/>
      </c>
      <c r="U19" s="26" t="n"/>
      <c r="V19" s="4">
        <f>'Raw OI Data'!H19</f>
        <v/>
      </c>
      <c r="W19" s="4">
        <f>'Raw OI Data'!H20</f>
        <v/>
      </c>
      <c r="X19" s="4">
        <f>'Raw OI Data'!H21</f>
        <v/>
      </c>
      <c r="Y19" s="4">
        <f>'Raw OI Data'!H22</f>
        <v/>
      </c>
      <c r="Z19" s="26" t="n"/>
    </row>
    <row r="20" ht="14" customHeight="1">
      <c r="A20" s="25" t="inlineStr">
        <is>
          <t>Put Short OI</t>
        </is>
      </c>
      <c r="B20" s="6">
        <f>'Raw OI Data'!J3</f>
        <v/>
      </c>
      <c r="C20" s="6">
        <f>'Raw OI Data'!J4</f>
        <v/>
      </c>
      <c r="D20" s="6">
        <f>'Raw OI Data'!J5</f>
        <v/>
      </c>
      <c r="E20" s="6">
        <f>'Raw OI Data'!J6</f>
        <v/>
      </c>
      <c r="F20" s="27" t="n"/>
      <c r="G20" s="6">
        <f>'Raw OI Data'!J7</f>
        <v/>
      </c>
      <c r="H20" s="6">
        <f>'Raw OI Data'!J8</f>
        <v/>
      </c>
      <c r="I20" s="6">
        <f>'Raw OI Data'!J9</f>
        <v/>
      </c>
      <c r="J20" s="6">
        <f>'Raw OI Data'!J10</f>
        <v/>
      </c>
      <c r="K20" s="27" t="n"/>
      <c r="L20" s="6">
        <f>'Raw OI Data'!J11</f>
        <v/>
      </c>
      <c r="M20" s="6">
        <f>'Raw OI Data'!J12</f>
        <v/>
      </c>
      <c r="N20" s="6">
        <f>'Raw OI Data'!J13</f>
        <v/>
      </c>
      <c r="O20" s="6">
        <f>'Raw OI Data'!J14</f>
        <v/>
      </c>
      <c r="P20" s="27" t="n"/>
      <c r="Q20" s="6">
        <f>'Raw OI Data'!J15</f>
        <v/>
      </c>
      <c r="R20" s="6">
        <f>'Raw OI Data'!J16</f>
        <v/>
      </c>
      <c r="S20" s="6">
        <f>'Raw OI Data'!J17</f>
        <v/>
      </c>
      <c r="T20" s="6">
        <f>'Raw OI Data'!J18</f>
        <v/>
      </c>
      <c r="U20" s="27" t="n"/>
      <c r="V20" s="6">
        <f>'Raw OI Data'!J19</f>
        <v/>
      </c>
      <c r="W20" s="6">
        <f>'Raw OI Data'!J20</f>
        <v/>
      </c>
      <c r="X20" s="6">
        <f>'Raw OI Data'!J21</f>
        <v/>
      </c>
      <c r="Y20" s="6">
        <f>'Raw OI Data'!J22</f>
        <v/>
      </c>
      <c r="Z20" s="27" t="n"/>
    </row>
    <row r="21" ht="14" customHeight="1">
      <c r="A21" s="25" t="inlineStr">
        <is>
          <t>Net Put OI</t>
        </is>
      </c>
      <c r="B21" s="28">
        <f>'Raw OI Data'!H3-'Raw OI Data'!J3</f>
        <v/>
      </c>
      <c r="C21" s="28">
        <f>'Raw OI Data'!H4-'Raw OI Data'!J4</f>
        <v/>
      </c>
      <c r="D21" s="28">
        <f>'Raw OI Data'!H5-'Raw OI Data'!J5</f>
        <v/>
      </c>
      <c r="E21" s="28">
        <f>'Raw OI Data'!H6-'Raw OI Data'!J6</f>
        <v/>
      </c>
      <c r="F21" s="26" t="n"/>
      <c r="G21" s="28">
        <f>'Raw OI Data'!H7-'Raw OI Data'!J7</f>
        <v/>
      </c>
      <c r="H21" s="28">
        <f>'Raw OI Data'!H8-'Raw OI Data'!J8</f>
        <v/>
      </c>
      <c r="I21" s="28">
        <f>'Raw OI Data'!H9-'Raw OI Data'!J9</f>
        <v/>
      </c>
      <c r="J21" s="28">
        <f>'Raw OI Data'!H10-'Raw OI Data'!J10</f>
        <v/>
      </c>
      <c r="K21" s="26" t="n"/>
      <c r="L21" s="28">
        <f>'Raw OI Data'!H11-'Raw OI Data'!J11</f>
        <v/>
      </c>
      <c r="M21" s="28">
        <f>'Raw OI Data'!H12-'Raw OI Data'!J12</f>
        <v/>
      </c>
      <c r="N21" s="28">
        <f>'Raw OI Data'!H13-'Raw OI Data'!J13</f>
        <v/>
      </c>
      <c r="O21" s="28">
        <f>'Raw OI Data'!H14-'Raw OI Data'!J14</f>
        <v/>
      </c>
      <c r="P21" s="26" t="n"/>
      <c r="Q21" s="28">
        <f>'Raw OI Data'!H15-'Raw OI Data'!J15</f>
        <v/>
      </c>
      <c r="R21" s="28">
        <f>'Raw OI Data'!H16-'Raw OI Data'!J16</f>
        <v/>
      </c>
      <c r="S21" s="28">
        <f>'Raw OI Data'!H17-'Raw OI Data'!J17</f>
        <v/>
      </c>
      <c r="T21" s="28">
        <f>'Raw OI Data'!H18-'Raw OI Data'!J18</f>
        <v/>
      </c>
      <c r="U21" s="26" t="n"/>
      <c r="V21" s="28">
        <f>'Raw OI Data'!H19-'Raw OI Data'!J19</f>
        <v/>
      </c>
      <c r="W21" s="28">
        <f>'Raw OI Data'!H20-'Raw OI Data'!J20</f>
        <v/>
      </c>
      <c r="X21" s="28">
        <f>'Raw OI Data'!H21-'Raw OI Data'!J21</f>
        <v/>
      </c>
      <c r="Y21" s="28">
        <f>'Raw OI Data'!H22-'Raw OI Data'!J22</f>
        <v/>
      </c>
      <c r="Z21" s="26" t="n"/>
    </row>
    <row r="22" ht="16" customHeight="1">
      <c r="A22" s="14" t="inlineStr">
        <is>
          <t>OPTIONS — STOCK CALLS</t>
        </is>
      </c>
    </row>
    <row r="23" ht="14" customHeight="1">
      <c r="A23" s="25" t="inlineStr">
        <is>
          <t>Call Long OI</t>
        </is>
      </c>
      <c r="B23" s="4">
        <f>'Raw OI Data'!K3</f>
        <v/>
      </c>
      <c r="C23" s="4">
        <f>'Raw OI Data'!K4</f>
        <v/>
      </c>
      <c r="D23" s="4">
        <f>'Raw OI Data'!K5</f>
        <v/>
      </c>
      <c r="E23" s="4">
        <f>'Raw OI Data'!K6</f>
        <v/>
      </c>
      <c r="F23" s="26" t="n"/>
      <c r="G23" s="4">
        <f>'Raw OI Data'!K7</f>
        <v/>
      </c>
      <c r="H23" s="4">
        <f>'Raw OI Data'!K8</f>
        <v/>
      </c>
      <c r="I23" s="4">
        <f>'Raw OI Data'!K9</f>
        <v/>
      </c>
      <c r="J23" s="4">
        <f>'Raw OI Data'!K10</f>
        <v/>
      </c>
      <c r="K23" s="26" t="n"/>
      <c r="L23" s="4">
        <f>'Raw OI Data'!K11</f>
        <v/>
      </c>
      <c r="M23" s="4">
        <f>'Raw OI Data'!K12</f>
        <v/>
      </c>
      <c r="N23" s="4">
        <f>'Raw OI Data'!K13</f>
        <v/>
      </c>
      <c r="O23" s="4">
        <f>'Raw OI Data'!K14</f>
        <v/>
      </c>
      <c r="P23" s="26" t="n"/>
      <c r="Q23" s="4">
        <f>'Raw OI Data'!K15</f>
        <v/>
      </c>
      <c r="R23" s="4">
        <f>'Raw OI Data'!K16</f>
        <v/>
      </c>
      <c r="S23" s="4">
        <f>'Raw OI Data'!K17</f>
        <v/>
      </c>
      <c r="T23" s="4">
        <f>'Raw OI Data'!K18</f>
        <v/>
      </c>
      <c r="U23" s="26" t="n"/>
      <c r="V23" s="4">
        <f>'Raw OI Data'!K19</f>
        <v/>
      </c>
      <c r="W23" s="4">
        <f>'Raw OI Data'!K20</f>
        <v/>
      </c>
      <c r="X23" s="4">
        <f>'Raw OI Data'!K21</f>
        <v/>
      </c>
      <c r="Y23" s="4">
        <f>'Raw OI Data'!K22</f>
        <v/>
      </c>
      <c r="Z23" s="26" t="n"/>
    </row>
    <row r="24" ht="14" customHeight="1">
      <c r="A24" s="25" t="inlineStr">
        <is>
          <t>Call Short OI</t>
        </is>
      </c>
      <c r="B24" s="6">
        <f>'Raw OI Data'!M3</f>
        <v/>
      </c>
      <c r="C24" s="6">
        <f>'Raw OI Data'!M4</f>
        <v/>
      </c>
      <c r="D24" s="6">
        <f>'Raw OI Data'!M5</f>
        <v/>
      </c>
      <c r="E24" s="6">
        <f>'Raw OI Data'!M6</f>
        <v/>
      </c>
      <c r="F24" s="27" t="n"/>
      <c r="G24" s="6">
        <f>'Raw OI Data'!M7</f>
        <v/>
      </c>
      <c r="H24" s="6">
        <f>'Raw OI Data'!M8</f>
        <v/>
      </c>
      <c r="I24" s="6">
        <f>'Raw OI Data'!M9</f>
        <v/>
      </c>
      <c r="J24" s="6">
        <f>'Raw OI Data'!M10</f>
        <v/>
      </c>
      <c r="K24" s="27" t="n"/>
      <c r="L24" s="6">
        <f>'Raw OI Data'!M11</f>
        <v/>
      </c>
      <c r="M24" s="6">
        <f>'Raw OI Data'!M12</f>
        <v/>
      </c>
      <c r="N24" s="6">
        <f>'Raw OI Data'!M13</f>
        <v/>
      </c>
      <c r="O24" s="6">
        <f>'Raw OI Data'!M14</f>
        <v/>
      </c>
      <c r="P24" s="27" t="n"/>
      <c r="Q24" s="6">
        <f>'Raw OI Data'!M15</f>
        <v/>
      </c>
      <c r="R24" s="6">
        <f>'Raw OI Data'!M16</f>
        <v/>
      </c>
      <c r="S24" s="6">
        <f>'Raw OI Data'!M17</f>
        <v/>
      </c>
      <c r="T24" s="6">
        <f>'Raw OI Data'!M18</f>
        <v/>
      </c>
      <c r="U24" s="27" t="n"/>
      <c r="V24" s="6">
        <f>'Raw OI Data'!M19</f>
        <v/>
      </c>
      <c r="W24" s="6">
        <f>'Raw OI Data'!M20</f>
        <v/>
      </c>
      <c r="X24" s="6">
        <f>'Raw OI Data'!M21</f>
        <v/>
      </c>
      <c r="Y24" s="6">
        <f>'Raw OI Data'!M22</f>
        <v/>
      </c>
      <c r="Z24" s="27" t="n"/>
    </row>
    <row r="25" ht="14" customHeight="1">
      <c r="A25" s="25" t="inlineStr">
        <is>
          <t>Net Call OI</t>
        </is>
      </c>
      <c r="B25" s="28">
        <f>'Raw OI Data'!K3-'Raw OI Data'!M3</f>
        <v/>
      </c>
      <c r="C25" s="28">
        <f>'Raw OI Data'!K4-'Raw OI Data'!M4</f>
        <v/>
      </c>
      <c r="D25" s="28">
        <f>'Raw OI Data'!K5-'Raw OI Data'!M5</f>
        <v/>
      </c>
      <c r="E25" s="28">
        <f>'Raw OI Data'!K6-'Raw OI Data'!M6</f>
        <v/>
      </c>
      <c r="F25" s="26" t="n"/>
      <c r="G25" s="28">
        <f>'Raw OI Data'!K7-'Raw OI Data'!M7</f>
        <v/>
      </c>
      <c r="H25" s="28">
        <f>'Raw OI Data'!K8-'Raw OI Data'!M8</f>
        <v/>
      </c>
      <c r="I25" s="28">
        <f>'Raw OI Data'!K9-'Raw OI Data'!M9</f>
        <v/>
      </c>
      <c r="J25" s="28">
        <f>'Raw OI Data'!K10-'Raw OI Data'!M10</f>
        <v/>
      </c>
      <c r="K25" s="26" t="n"/>
      <c r="L25" s="28">
        <f>'Raw OI Data'!K11-'Raw OI Data'!M11</f>
        <v/>
      </c>
      <c r="M25" s="28">
        <f>'Raw OI Data'!K12-'Raw OI Data'!M12</f>
        <v/>
      </c>
      <c r="N25" s="28">
        <f>'Raw OI Data'!K13-'Raw OI Data'!M13</f>
        <v/>
      </c>
      <c r="O25" s="28">
        <f>'Raw OI Data'!K14-'Raw OI Data'!M14</f>
        <v/>
      </c>
      <c r="P25" s="26" t="n"/>
      <c r="Q25" s="28">
        <f>'Raw OI Data'!K15-'Raw OI Data'!M15</f>
        <v/>
      </c>
      <c r="R25" s="28">
        <f>'Raw OI Data'!K16-'Raw OI Data'!M16</f>
        <v/>
      </c>
      <c r="S25" s="28">
        <f>'Raw OI Data'!K17-'Raw OI Data'!M17</f>
        <v/>
      </c>
      <c r="T25" s="28">
        <f>'Raw OI Data'!K18-'Raw OI Data'!M18</f>
        <v/>
      </c>
      <c r="U25" s="26" t="n"/>
      <c r="V25" s="28">
        <f>'Raw OI Data'!K19-'Raw OI Data'!M19</f>
        <v/>
      </c>
      <c r="W25" s="28">
        <f>'Raw OI Data'!K20-'Raw OI Data'!M20</f>
        <v/>
      </c>
      <c r="X25" s="28">
        <f>'Raw OI Data'!K21-'Raw OI Data'!M21</f>
        <v/>
      </c>
      <c r="Y25" s="28">
        <f>'Raw OI Data'!K22-'Raw OI Data'!M22</f>
        <v/>
      </c>
      <c r="Z25" s="26" t="n"/>
    </row>
    <row r="26" ht="16" customHeight="1">
      <c r="A26" s="14" t="inlineStr">
        <is>
          <t>OPTIONS — STOCK PUTS</t>
        </is>
      </c>
    </row>
    <row r="27" ht="14" customHeight="1">
      <c r="A27" s="25" t="inlineStr">
        <is>
          <t>Put Long OI</t>
        </is>
      </c>
      <c r="B27" s="4">
        <f>'Raw OI Data'!L3</f>
        <v/>
      </c>
      <c r="C27" s="4">
        <f>'Raw OI Data'!L4</f>
        <v/>
      </c>
      <c r="D27" s="4">
        <f>'Raw OI Data'!L5</f>
        <v/>
      </c>
      <c r="E27" s="4">
        <f>'Raw OI Data'!L6</f>
        <v/>
      </c>
      <c r="F27" s="26" t="n"/>
      <c r="G27" s="4">
        <f>'Raw OI Data'!L7</f>
        <v/>
      </c>
      <c r="H27" s="4">
        <f>'Raw OI Data'!L8</f>
        <v/>
      </c>
      <c r="I27" s="4">
        <f>'Raw OI Data'!L9</f>
        <v/>
      </c>
      <c r="J27" s="4">
        <f>'Raw OI Data'!L10</f>
        <v/>
      </c>
      <c r="K27" s="26" t="n"/>
      <c r="L27" s="4">
        <f>'Raw OI Data'!L11</f>
        <v/>
      </c>
      <c r="M27" s="4">
        <f>'Raw OI Data'!L12</f>
        <v/>
      </c>
      <c r="N27" s="4">
        <f>'Raw OI Data'!L13</f>
        <v/>
      </c>
      <c r="O27" s="4">
        <f>'Raw OI Data'!L14</f>
        <v/>
      </c>
      <c r="P27" s="26" t="n"/>
      <c r="Q27" s="4">
        <f>'Raw OI Data'!L15</f>
        <v/>
      </c>
      <c r="R27" s="4">
        <f>'Raw OI Data'!L16</f>
        <v/>
      </c>
      <c r="S27" s="4">
        <f>'Raw OI Data'!L17</f>
        <v/>
      </c>
      <c r="T27" s="4">
        <f>'Raw OI Data'!L18</f>
        <v/>
      </c>
      <c r="U27" s="26" t="n"/>
      <c r="V27" s="4">
        <f>'Raw OI Data'!L19</f>
        <v/>
      </c>
      <c r="W27" s="4">
        <f>'Raw OI Data'!L20</f>
        <v/>
      </c>
      <c r="X27" s="4">
        <f>'Raw OI Data'!L21</f>
        <v/>
      </c>
      <c r="Y27" s="4">
        <f>'Raw OI Data'!L22</f>
        <v/>
      </c>
      <c r="Z27" s="26" t="n"/>
    </row>
    <row r="28" ht="14" customHeight="1">
      <c r="A28" s="25" t="inlineStr">
        <is>
          <t>Put Short OI</t>
        </is>
      </c>
      <c r="B28" s="6">
        <f>'Raw OI Data'!N3</f>
        <v/>
      </c>
      <c r="C28" s="6">
        <f>'Raw OI Data'!N4</f>
        <v/>
      </c>
      <c r="D28" s="6">
        <f>'Raw OI Data'!N5</f>
        <v/>
      </c>
      <c r="E28" s="6">
        <f>'Raw OI Data'!N6</f>
        <v/>
      </c>
      <c r="F28" s="27" t="n"/>
      <c r="G28" s="6">
        <f>'Raw OI Data'!N7</f>
        <v/>
      </c>
      <c r="H28" s="6">
        <f>'Raw OI Data'!N8</f>
        <v/>
      </c>
      <c r="I28" s="6">
        <f>'Raw OI Data'!N9</f>
        <v/>
      </c>
      <c r="J28" s="6">
        <f>'Raw OI Data'!N10</f>
        <v/>
      </c>
      <c r="K28" s="27" t="n"/>
      <c r="L28" s="6">
        <f>'Raw OI Data'!N11</f>
        <v/>
      </c>
      <c r="M28" s="6">
        <f>'Raw OI Data'!N12</f>
        <v/>
      </c>
      <c r="N28" s="6">
        <f>'Raw OI Data'!N13</f>
        <v/>
      </c>
      <c r="O28" s="6">
        <f>'Raw OI Data'!N14</f>
        <v/>
      </c>
      <c r="P28" s="27" t="n"/>
      <c r="Q28" s="6">
        <f>'Raw OI Data'!N15</f>
        <v/>
      </c>
      <c r="R28" s="6">
        <f>'Raw OI Data'!N16</f>
        <v/>
      </c>
      <c r="S28" s="6">
        <f>'Raw OI Data'!N17</f>
        <v/>
      </c>
      <c r="T28" s="6">
        <f>'Raw OI Data'!N18</f>
        <v/>
      </c>
      <c r="U28" s="27" t="n"/>
      <c r="V28" s="6">
        <f>'Raw OI Data'!N19</f>
        <v/>
      </c>
      <c r="W28" s="6">
        <f>'Raw OI Data'!N20</f>
        <v/>
      </c>
      <c r="X28" s="6">
        <f>'Raw OI Data'!N21</f>
        <v/>
      </c>
      <c r="Y28" s="6">
        <f>'Raw OI Data'!N22</f>
        <v/>
      </c>
      <c r="Z28" s="27" t="n"/>
    </row>
    <row r="29" ht="14" customHeight="1">
      <c r="A29" s="25" t="inlineStr">
        <is>
          <t>Net Put OI</t>
        </is>
      </c>
      <c r="B29" s="28">
        <f>'Raw OI Data'!L3-'Raw OI Data'!N3</f>
        <v/>
      </c>
      <c r="C29" s="28">
        <f>'Raw OI Data'!L4-'Raw OI Data'!N4</f>
        <v/>
      </c>
      <c r="D29" s="28">
        <f>'Raw OI Data'!L5-'Raw OI Data'!N5</f>
        <v/>
      </c>
      <c r="E29" s="28">
        <f>'Raw OI Data'!L6-'Raw OI Data'!N6</f>
        <v/>
      </c>
      <c r="F29" s="26" t="n"/>
      <c r="G29" s="28">
        <f>'Raw OI Data'!L7-'Raw OI Data'!N7</f>
        <v/>
      </c>
      <c r="H29" s="28">
        <f>'Raw OI Data'!L8-'Raw OI Data'!N8</f>
        <v/>
      </c>
      <c r="I29" s="28">
        <f>'Raw OI Data'!L9-'Raw OI Data'!N9</f>
        <v/>
      </c>
      <c r="J29" s="28">
        <f>'Raw OI Data'!L10-'Raw OI Data'!N10</f>
        <v/>
      </c>
      <c r="K29" s="26" t="n"/>
      <c r="L29" s="28">
        <f>'Raw OI Data'!L11-'Raw OI Data'!N11</f>
        <v/>
      </c>
      <c r="M29" s="28">
        <f>'Raw OI Data'!L12-'Raw OI Data'!N12</f>
        <v/>
      </c>
      <c r="N29" s="28">
        <f>'Raw OI Data'!L13-'Raw OI Data'!N13</f>
        <v/>
      </c>
      <c r="O29" s="28">
        <f>'Raw OI Data'!L14-'Raw OI Data'!N14</f>
        <v/>
      </c>
      <c r="P29" s="26" t="n"/>
      <c r="Q29" s="28">
        <f>'Raw OI Data'!L15-'Raw OI Data'!N15</f>
        <v/>
      </c>
      <c r="R29" s="28">
        <f>'Raw OI Data'!L16-'Raw OI Data'!N16</f>
        <v/>
      </c>
      <c r="S29" s="28">
        <f>'Raw OI Data'!L17-'Raw OI Data'!N17</f>
        <v/>
      </c>
      <c r="T29" s="28">
        <f>'Raw OI Data'!L18-'Raw OI Data'!N18</f>
        <v/>
      </c>
      <c r="U29" s="26" t="n"/>
      <c r="V29" s="28">
        <f>'Raw OI Data'!L19-'Raw OI Data'!N19</f>
        <v/>
      </c>
      <c r="W29" s="28">
        <f>'Raw OI Data'!L20-'Raw OI Data'!N20</f>
        <v/>
      </c>
      <c r="X29" s="28">
        <f>'Raw OI Data'!L21-'Raw OI Data'!N21</f>
        <v/>
      </c>
      <c r="Y29" s="28">
        <f>'Raw OI Data'!L22-'Raw OI Data'!N22</f>
        <v/>
      </c>
      <c r="Z29" s="26" t="n"/>
    </row>
    <row r="30" ht="16" customHeight="1">
      <c r="A30" s="14" t="inlineStr">
        <is>
          <t>TOTAL POSITION</t>
        </is>
      </c>
    </row>
    <row r="31" ht="14" customHeight="1">
      <c r="A31" s="25" t="inlineStr">
        <is>
          <t>Total Long</t>
        </is>
      </c>
      <c r="B31" s="4">
        <f>'Raw OI Data'!O3</f>
        <v/>
      </c>
      <c r="C31" s="4">
        <f>'Raw OI Data'!O4</f>
        <v/>
      </c>
      <c r="D31" s="4">
        <f>'Raw OI Data'!O5</f>
        <v/>
      </c>
      <c r="E31" s="4">
        <f>'Raw OI Data'!O6</f>
        <v/>
      </c>
      <c r="F31" s="26" t="n"/>
      <c r="G31" s="4">
        <f>'Raw OI Data'!O7</f>
        <v/>
      </c>
      <c r="H31" s="4">
        <f>'Raw OI Data'!O8</f>
        <v/>
      </c>
      <c r="I31" s="4">
        <f>'Raw OI Data'!O9</f>
        <v/>
      </c>
      <c r="J31" s="4">
        <f>'Raw OI Data'!O10</f>
        <v/>
      </c>
      <c r="K31" s="26" t="n"/>
      <c r="L31" s="4">
        <f>'Raw OI Data'!O11</f>
        <v/>
      </c>
      <c r="M31" s="4">
        <f>'Raw OI Data'!O12</f>
        <v/>
      </c>
      <c r="N31" s="4">
        <f>'Raw OI Data'!O13</f>
        <v/>
      </c>
      <c r="O31" s="4">
        <f>'Raw OI Data'!O14</f>
        <v/>
      </c>
      <c r="P31" s="26" t="n"/>
      <c r="Q31" s="4">
        <f>'Raw OI Data'!O15</f>
        <v/>
      </c>
      <c r="R31" s="4">
        <f>'Raw OI Data'!O16</f>
        <v/>
      </c>
      <c r="S31" s="4">
        <f>'Raw OI Data'!O17</f>
        <v/>
      </c>
      <c r="T31" s="4">
        <f>'Raw OI Data'!O18</f>
        <v/>
      </c>
      <c r="U31" s="26" t="n"/>
      <c r="V31" s="4">
        <f>'Raw OI Data'!O19</f>
        <v/>
      </c>
      <c r="W31" s="4">
        <f>'Raw OI Data'!O20</f>
        <v/>
      </c>
      <c r="X31" s="4">
        <f>'Raw OI Data'!O21</f>
        <v/>
      </c>
      <c r="Y31" s="4">
        <f>'Raw OI Data'!O22</f>
        <v/>
      </c>
      <c r="Z31" s="26" t="n"/>
    </row>
    <row r="32" ht="14" customHeight="1">
      <c r="A32" s="25" t="inlineStr">
        <is>
          <t>Total Short</t>
        </is>
      </c>
      <c r="B32" s="6">
        <f>'Raw OI Data'!P3</f>
        <v/>
      </c>
      <c r="C32" s="6">
        <f>'Raw OI Data'!P4</f>
        <v/>
      </c>
      <c r="D32" s="6">
        <f>'Raw OI Data'!P5</f>
        <v/>
      </c>
      <c r="E32" s="6">
        <f>'Raw OI Data'!P6</f>
        <v/>
      </c>
      <c r="F32" s="27" t="n"/>
      <c r="G32" s="6">
        <f>'Raw OI Data'!P7</f>
        <v/>
      </c>
      <c r="H32" s="6">
        <f>'Raw OI Data'!P8</f>
        <v/>
      </c>
      <c r="I32" s="6">
        <f>'Raw OI Data'!P9</f>
        <v/>
      </c>
      <c r="J32" s="6">
        <f>'Raw OI Data'!P10</f>
        <v/>
      </c>
      <c r="K32" s="27" t="n"/>
      <c r="L32" s="6">
        <f>'Raw OI Data'!P11</f>
        <v/>
      </c>
      <c r="M32" s="6">
        <f>'Raw OI Data'!P12</f>
        <v/>
      </c>
      <c r="N32" s="6">
        <f>'Raw OI Data'!P13</f>
        <v/>
      </c>
      <c r="O32" s="6">
        <f>'Raw OI Data'!P14</f>
        <v/>
      </c>
      <c r="P32" s="27" t="n"/>
      <c r="Q32" s="6">
        <f>'Raw OI Data'!P15</f>
        <v/>
      </c>
      <c r="R32" s="6">
        <f>'Raw OI Data'!P16</f>
        <v/>
      </c>
      <c r="S32" s="6">
        <f>'Raw OI Data'!P17</f>
        <v/>
      </c>
      <c r="T32" s="6">
        <f>'Raw OI Data'!P18</f>
        <v/>
      </c>
      <c r="U32" s="27" t="n"/>
      <c r="V32" s="6">
        <f>'Raw OI Data'!P19</f>
        <v/>
      </c>
      <c r="W32" s="6">
        <f>'Raw OI Data'!P20</f>
        <v/>
      </c>
      <c r="X32" s="6">
        <f>'Raw OI Data'!P21</f>
        <v/>
      </c>
      <c r="Y32" s="6">
        <f>'Raw OI Data'!P22</f>
        <v/>
      </c>
      <c r="Z32" s="27" t="n"/>
    </row>
    <row r="33" ht="14" customHeight="1">
      <c r="A33" s="25" t="inlineStr">
        <is>
          <t>Net Total OI</t>
        </is>
      </c>
      <c r="B33" s="28">
        <f>'Raw OI Data'!O3-'Raw OI Data'!P3</f>
        <v/>
      </c>
      <c r="C33" s="28">
        <f>'Raw OI Data'!O4-'Raw OI Data'!P4</f>
        <v/>
      </c>
      <c r="D33" s="28">
        <f>'Raw OI Data'!O5-'Raw OI Data'!P5</f>
        <v/>
      </c>
      <c r="E33" s="28">
        <f>'Raw OI Data'!O6-'Raw OI Data'!P6</f>
        <v/>
      </c>
      <c r="F33" s="26" t="n"/>
      <c r="G33" s="28">
        <f>'Raw OI Data'!O7-'Raw OI Data'!P7</f>
        <v/>
      </c>
      <c r="H33" s="28">
        <f>'Raw OI Data'!O8-'Raw OI Data'!P8</f>
        <v/>
      </c>
      <c r="I33" s="28">
        <f>'Raw OI Data'!O9-'Raw OI Data'!P9</f>
        <v/>
      </c>
      <c r="J33" s="28">
        <f>'Raw OI Data'!O10-'Raw OI Data'!P10</f>
        <v/>
      </c>
      <c r="K33" s="26" t="n"/>
      <c r="L33" s="28">
        <f>'Raw OI Data'!O11-'Raw OI Data'!P11</f>
        <v/>
      </c>
      <c r="M33" s="28">
        <f>'Raw OI Data'!O12-'Raw OI Data'!P12</f>
        <v/>
      </c>
      <c r="N33" s="28">
        <f>'Raw OI Data'!O13-'Raw OI Data'!P13</f>
        <v/>
      </c>
      <c r="O33" s="28">
        <f>'Raw OI Data'!O14-'Raw OI Data'!P14</f>
        <v/>
      </c>
      <c r="P33" s="26" t="n"/>
      <c r="Q33" s="28">
        <f>'Raw OI Data'!O15-'Raw OI Data'!P15</f>
        <v/>
      </c>
      <c r="R33" s="28">
        <f>'Raw OI Data'!O16-'Raw OI Data'!P16</f>
        <v/>
      </c>
      <c r="S33" s="28">
        <f>'Raw OI Data'!O17-'Raw OI Data'!P17</f>
        <v/>
      </c>
      <c r="T33" s="28">
        <f>'Raw OI Data'!O18-'Raw OI Data'!P18</f>
        <v/>
      </c>
      <c r="U33" s="26" t="n"/>
      <c r="V33" s="28">
        <f>'Raw OI Data'!O19-'Raw OI Data'!P19</f>
        <v/>
      </c>
      <c r="W33" s="28">
        <f>'Raw OI Data'!O20-'Raw OI Data'!P20</f>
        <v/>
      </c>
      <c r="X33" s="28">
        <f>'Raw OI Data'!O21-'Raw OI Data'!P21</f>
        <v/>
      </c>
      <c r="Y33" s="28">
        <f>'Raw OI Data'!O22-'Raw OI Data'!P22</f>
        <v/>
      </c>
      <c r="Z33" s="26" t="n"/>
    </row>
    <row r="34" ht="14" customHeight="1">
      <c r="A34" s="25" t="inlineStr">
        <is>
          <t>L/S Ratio</t>
        </is>
      </c>
      <c r="B34" s="29">
        <f>IFERROR('Raw OI Data'!O3/'Raw OI Data'!P3,0)</f>
        <v/>
      </c>
      <c r="C34" s="29">
        <f>IFERROR('Raw OI Data'!O4/'Raw OI Data'!P4,0)</f>
        <v/>
      </c>
      <c r="D34" s="29">
        <f>IFERROR('Raw OI Data'!O5/'Raw OI Data'!P5,0)</f>
        <v/>
      </c>
      <c r="E34" s="29">
        <f>IFERROR('Raw OI Data'!O6/'Raw OI Data'!P6,0)</f>
        <v/>
      </c>
      <c r="F34" s="27" t="n"/>
      <c r="G34" s="29">
        <f>IFERROR('Raw OI Data'!O7/'Raw OI Data'!P7,0)</f>
        <v/>
      </c>
      <c r="H34" s="29">
        <f>IFERROR('Raw OI Data'!O8/'Raw OI Data'!P8,0)</f>
        <v/>
      </c>
      <c r="I34" s="29">
        <f>IFERROR('Raw OI Data'!O9/'Raw OI Data'!P9,0)</f>
        <v/>
      </c>
      <c r="J34" s="29">
        <f>IFERROR('Raw OI Data'!O10/'Raw OI Data'!P10,0)</f>
        <v/>
      </c>
      <c r="K34" s="27" t="n"/>
      <c r="L34" s="29">
        <f>IFERROR('Raw OI Data'!O11/'Raw OI Data'!P11,0)</f>
        <v/>
      </c>
      <c r="M34" s="29">
        <f>IFERROR('Raw OI Data'!O12/'Raw OI Data'!P12,0)</f>
        <v/>
      </c>
      <c r="N34" s="29">
        <f>IFERROR('Raw OI Data'!O13/'Raw OI Data'!P13,0)</f>
        <v/>
      </c>
      <c r="O34" s="29">
        <f>IFERROR('Raw OI Data'!O14/'Raw OI Data'!P14,0)</f>
        <v/>
      </c>
      <c r="P34" s="27" t="n"/>
      <c r="Q34" s="29">
        <f>IFERROR('Raw OI Data'!O15/'Raw OI Data'!P15,0)</f>
        <v/>
      </c>
      <c r="R34" s="29">
        <f>IFERROR('Raw OI Data'!O16/'Raw OI Data'!P16,0)</f>
        <v/>
      </c>
      <c r="S34" s="29">
        <f>IFERROR('Raw OI Data'!O17/'Raw OI Data'!P17,0)</f>
        <v/>
      </c>
      <c r="T34" s="29">
        <f>IFERROR('Raw OI Data'!O18/'Raw OI Data'!P18,0)</f>
        <v/>
      </c>
      <c r="U34" s="27" t="n"/>
      <c r="V34" s="29">
        <f>IFERROR('Raw OI Data'!O19/'Raw OI Data'!P19,0)</f>
        <v/>
      </c>
      <c r="W34" s="29">
        <f>IFERROR('Raw OI Data'!O20/'Raw OI Data'!P20,0)</f>
        <v/>
      </c>
      <c r="X34" s="29">
        <f>IFERROR('Raw OI Data'!O21/'Raw OI Data'!P21,0)</f>
        <v/>
      </c>
      <c r="Y34" s="29">
        <f>IFERROR('Raw OI Data'!O22/'Raw OI Data'!P22,0)</f>
        <v/>
      </c>
      <c r="Z34" s="27" t="n"/>
    </row>
    <row r="35" ht="14" customHeight="1">
      <c r="A35" s="25" t="inlineStr">
        <is>
          <t>% of Mkt Long</t>
        </is>
      </c>
      <c r="B35" s="30">
        <f>IFERROR('Raw OI Data'!O3/SUM('Raw OI Data'!O3,'Raw OI Data'!O4,'Raw OI Data'!O5,'Raw OI Data'!O6),0)</f>
        <v/>
      </c>
      <c r="C35" s="30">
        <f>IFERROR('Raw OI Data'!O4/SUM('Raw OI Data'!O3,'Raw OI Data'!O4,'Raw OI Data'!O5,'Raw OI Data'!O6),0)</f>
        <v/>
      </c>
      <c r="D35" s="30">
        <f>IFERROR('Raw OI Data'!O5/SUM('Raw OI Data'!O3,'Raw OI Data'!O4,'Raw OI Data'!O5,'Raw OI Data'!O6),0)</f>
        <v/>
      </c>
      <c r="E35" s="30">
        <f>IFERROR('Raw OI Data'!O6/SUM('Raw OI Data'!O3,'Raw OI Data'!O4,'Raw OI Data'!O5,'Raw OI Data'!O6),0)</f>
        <v/>
      </c>
      <c r="F35" s="26" t="n"/>
      <c r="G35" s="30">
        <f>IFERROR('Raw OI Data'!O7/SUM('Raw OI Data'!O7,'Raw OI Data'!O8,'Raw OI Data'!O9,'Raw OI Data'!O10),0)</f>
        <v/>
      </c>
      <c r="H35" s="30">
        <f>IFERROR('Raw OI Data'!O8/SUM('Raw OI Data'!O7,'Raw OI Data'!O8,'Raw OI Data'!O9,'Raw OI Data'!O10),0)</f>
        <v/>
      </c>
      <c r="I35" s="30">
        <f>IFERROR('Raw OI Data'!O9/SUM('Raw OI Data'!O7,'Raw OI Data'!O8,'Raw OI Data'!O9,'Raw OI Data'!O10),0)</f>
        <v/>
      </c>
      <c r="J35" s="30">
        <f>IFERROR('Raw OI Data'!O10/SUM('Raw OI Data'!O7,'Raw OI Data'!O8,'Raw OI Data'!O9,'Raw OI Data'!O10),0)</f>
        <v/>
      </c>
      <c r="K35" s="26" t="n"/>
      <c r="L35" s="30">
        <f>IFERROR('Raw OI Data'!O11/SUM('Raw OI Data'!O11,'Raw OI Data'!O12,'Raw OI Data'!O13,'Raw OI Data'!O14),0)</f>
        <v/>
      </c>
      <c r="M35" s="30">
        <f>IFERROR('Raw OI Data'!O12/SUM('Raw OI Data'!O11,'Raw OI Data'!O12,'Raw OI Data'!O13,'Raw OI Data'!O14),0)</f>
        <v/>
      </c>
      <c r="N35" s="30">
        <f>IFERROR('Raw OI Data'!O13/SUM('Raw OI Data'!O11,'Raw OI Data'!O12,'Raw OI Data'!O13,'Raw OI Data'!O14),0)</f>
        <v/>
      </c>
      <c r="O35" s="30">
        <f>IFERROR('Raw OI Data'!O14/SUM('Raw OI Data'!O11,'Raw OI Data'!O12,'Raw OI Data'!O13,'Raw OI Data'!O14),0)</f>
        <v/>
      </c>
      <c r="P35" s="26" t="n"/>
      <c r="Q35" s="30">
        <f>IFERROR('Raw OI Data'!O15/SUM('Raw OI Data'!O15,'Raw OI Data'!O16,'Raw OI Data'!O17,'Raw OI Data'!O18),0)</f>
        <v/>
      </c>
      <c r="R35" s="30">
        <f>IFERROR('Raw OI Data'!O16/SUM('Raw OI Data'!O15,'Raw OI Data'!O16,'Raw OI Data'!O17,'Raw OI Data'!O18),0)</f>
        <v/>
      </c>
      <c r="S35" s="30">
        <f>IFERROR('Raw OI Data'!O17/SUM('Raw OI Data'!O15,'Raw OI Data'!O16,'Raw OI Data'!O17,'Raw OI Data'!O18),0)</f>
        <v/>
      </c>
      <c r="T35" s="30">
        <f>IFERROR('Raw OI Data'!O18/SUM('Raw OI Data'!O15,'Raw OI Data'!O16,'Raw OI Data'!O17,'Raw OI Data'!O18),0)</f>
        <v/>
      </c>
      <c r="U35" s="26" t="n"/>
      <c r="V35" s="30">
        <f>IFERROR('Raw OI Data'!O19/SUM('Raw OI Data'!O19,'Raw OI Data'!O20,'Raw OI Data'!O21,'Raw OI Data'!O22),0)</f>
        <v/>
      </c>
      <c r="W35" s="30">
        <f>IFERROR('Raw OI Data'!O20/SUM('Raw OI Data'!O19,'Raw OI Data'!O20,'Raw OI Data'!O21,'Raw OI Data'!O22),0)</f>
        <v/>
      </c>
      <c r="X35" s="30">
        <f>IFERROR('Raw OI Data'!O21/SUM('Raw OI Data'!O19,'Raw OI Data'!O20,'Raw OI Data'!O21,'Raw OI Data'!O22),0)</f>
        <v/>
      </c>
      <c r="Y35" s="30">
        <f>IFERROR('Raw OI Data'!O22/SUM('Raw OI Data'!O19,'Raw OI Data'!O20,'Raw OI Data'!O21,'Raw OI Data'!O22),0)</f>
        <v/>
      </c>
      <c r="Z35" s="26" t="n"/>
    </row>
    <row r="36" ht="14" customHeight="1">
      <c r="A36" s="25" t="inlineStr">
        <is>
          <t>% of Mkt Short</t>
        </is>
      </c>
      <c r="B36" s="31">
        <f>IFERROR('Raw OI Data'!P3/SUM('Raw OI Data'!P3,'Raw OI Data'!P4,'Raw OI Data'!P5,'Raw OI Data'!P6),0)</f>
        <v/>
      </c>
      <c r="C36" s="31">
        <f>IFERROR('Raw OI Data'!P4/SUM('Raw OI Data'!P3,'Raw OI Data'!P4,'Raw OI Data'!P5,'Raw OI Data'!P6),0)</f>
        <v/>
      </c>
      <c r="D36" s="31">
        <f>IFERROR('Raw OI Data'!P5/SUM('Raw OI Data'!P3,'Raw OI Data'!P4,'Raw OI Data'!P5,'Raw OI Data'!P6),0)</f>
        <v/>
      </c>
      <c r="E36" s="31">
        <f>IFERROR('Raw OI Data'!P6/SUM('Raw OI Data'!P3,'Raw OI Data'!P4,'Raw OI Data'!P5,'Raw OI Data'!P6),0)</f>
        <v/>
      </c>
      <c r="F36" s="27" t="n"/>
      <c r="G36" s="31">
        <f>IFERROR('Raw OI Data'!P7/SUM('Raw OI Data'!P7,'Raw OI Data'!P8,'Raw OI Data'!P9,'Raw OI Data'!P10),0)</f>
        <v/>
      </c>
      <c r="H36" s="31">
        <f>IFERROR('Raw OI Data'!P8/SUM('Raw OI Data'!P7,'Raw OI Data'!P8,'Raw OI Data'!P9,'Raw OI Data'!P10),0)</f>
        <v/>
      </c>
      <c r="I36" s="31">
        <f>IFERROR('Raw OI Data'!P9/SUM('Raw OI Data'!P7,'Raw OI Data'!P8,'Raw OI Data'!P9,'Raw OI Data'!P10),0)</f>
        <v/>
      </c>
      <c r="J36" s="31">
        <f>IFERROR('Raw OI Data'!P10/SUM('Raw OI Data'!P7,'Raw OI Data'!P8,'Raw OI Data'!P9,'Raw OI Data'!P10),0)</f>
        <v/>
      </c>
      <c r="K36" s="27" t="n"/>
      <c r="L36" s="31">
        <f>IFERROR('Raw OI Data'!P11/SUM('Raw OI Data'!P11,'Raw OI Data'!P12,'Raw OI Data'!P13,'Raw OI Data'!P14),0)</f>
        <v/>
      </c>
      <c r="M36" s="31">
        <f>IFERROR('Raw OI Data'!P12/SUM('Raw OI Data'!P11,'Raw OI Data'!P12,'Raw OI Data'!P13,'Raw OI Data'!P14),0)</f>
        <v/>
      </c>
      <c r="N36" s="31">
        <f>IFERROR('Raw OI Data'!P13/SUM('Raw OI Data'!P11,'Raw OI Data'!P12,'Raw OI Data'!P13,'Raw OI Data'!P14),0)</f>
        <v/>
      </c>
      <c r="O36" s="31">
        <f>IFERROR('Raw OI Data'!P14/SUM('Raw OI Data'!P11,'Raw OI Data'!P12,'Raw OI Data'!P13,'Raw OI Data'!P14),0)</f>
        <v/>
      </c>
      <c r="P36" s="27" t="n"/>
      <c r="Q36" s="31">
        <f>IFERROR('Raw OI Data'!P15/SUM('Raw OI Data'!P15,'Raw OI Data'!P16,'Raw OI Data'!P17,'Raw OI Data'!P18),0)</f>
        <v/>
      </c>
      <c r="R36" s="31">
        <f>IFERROR('Raw OI Data'!P16/SUM('Raw OI Data'!P15,'Raw OI Data'!P16,'Raw OI Data'!P17,'Raw OI Data'!P18),0)</f>
        <v/>
      </c>
      <c r="S36" s="31">
        <f>IFERROR('Raw OI Data'!P17/SUM('Raw OI Data'!P15,'Raw OI Data'!P16,'Raw OI Data'!P17,'Raw OI Data'!P18),0)</f>
        <v/>
      </c>
      <c r="T36" s="31">
        <f>IFERROR('Raw OI Data'!P18/SUM('Raw OI Data'!P15,'Raw OI Data'!P16,'Raw OI Data'!P17,'Raw OI Data'!P18),0)</f>
        <v/>
      </c>
      <c r="U36" s="27" t="n"/>
      <c r="V36" s="31">
        <f>IFERROR('Raw OI Data'!P19/SUM('Raw OI Data'!P19,'Raw OI Data'!P20,'Raw OI Data'!P21,'Raw OI Data'!P22),0)</f>
        <v/>
      </c>
      <c r="W36" s="31">
        <f>IFERROR('Raw OI Data'!P20/SUM('Raw OI Data'!P19,'Raw OI Data'!P20,'Raw OI Data'!P21,'Raw OI Data'!P22),0)</f>
        <v/>
      </c>
      <c r="X36" s="31">
        <f>IFERROR('Raw OI Data'!P21/SUM('Raw OI Data'!P19,'Raw OI Data'!P20,'Raw OI Data'!P21,'Raw OI Data'!P22),0)</f>
        <v/>
      </c>
      <c r="Y36" s="31">
        <f>IFERROR('Raw OI Data'!P22/SUM('Raw OI Data'!P19,'Raw OI Data'!P20,'Raw OI Data'!P21,'Raw OI Data'!P22),0)</f>
        <v/>
      </c>
      <c r="Z36" s="27" t="n"/>
    </row>
  </sheetData>
  <mergeCells count="13">
    <mergeCell ref="A14:Z14"/>
    <mergeCell ref="A1:Z1"/>
    <mergeCell ref="A9:Z9"/>
    <mergeCell ref="A18:Z18"/>
    <mergeCell ref="A22:Z22"/>
    <mergeCell ref="V2:Y2"/>
    <mergeCell ref="L2:O2"/>
    <mergeCell ref="A4:Z4"/>
    <mergeCell ref="G2:J2"/>
    <mergeCell ref="A26:Z26"/>
    <mergeCell ref="B2:E2"/>
    <mergeCell ref="Q2:T2"/>
    <mergeCell ref="A30:Z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2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" customWidth="1" min="21" max="21"/>
    <col width="14" customWidth="1" min="22" max="22"/>
    <col width="14" customWidth="1" min="23" max="23"/>
    <col width="14" customWidth="1" min="24" max="24"/>
    <col width="14" customWidth="1" min="25" max="25"/>
    <col width="2" customWidth="1" min="26" max="26"/>
  </cols>
  <sheetData>
    <row r="1" ht="22" customHeight="1">
      <c r="A1" s="1" t="inlineStr">
        <is>
          <t>NSE FAO — TV Dashboard</t>
        </is>
      </c>
    </row>
    <row r="2" ht="16" customHeight="1">
      <c r="A2" s="19" t="inlineStr">
        <is>
          <t>Metric</t>
        </is>
      </c>
      <c r="B2" s="19" t="inlineStr">
        <is>
          <t>Jun 29 2026</t>
        </is>
      </c>
      <c r="C2" s="20" t="n"/>
      <c r="D2" s="20" t="n"/>
      <c r="E2" s="20" t="n"/>
      <c r="F2" s="21" t="n"/>
      <c r="G2" s="19" t="inlineStr">
        <is>
          <t>Jun 30 2026</t>
        </is>
      </c>
      <c r="H2" s="20" t="n"/>
      <c r="I2" s="20" t="n"/>
      <c r="J2" s="20" t="n"/>
      <c r="K2" s="21" t="n"/>
      <c r="L2" s="19" t="inlineStr">
        <is>
          <t>Jul 01 2026</t>
        </is>
      </c>
      <c r="M2" s="20" t="n"/>
      <c r="N2" s="20" t="n"/>
      <c r="O2" s="20" t="n"/>
      <c r="P2" s="21" t="n"/>
      <c r="Q2" s="19" t="inlineStr">
        <is>
          <t>Jul 02 2026</t>
        </is>
      </c>
      <c r="R2" s="20" t="n"/>
      <c r="S2" s="20" t="n"/>
      <c r="T2" s="20" t="n"/>
      <c r="U2" s="21" t="n"/>
      <c r="V2" s="19" t="inlineStr">
        <is>
          <t>Jul 03 2026</t>
        </is>
      </c>
      <c r="W2" s="20" t="n"/>
      <c r="X2" s="20" t="n"/>
      <c r="Y2" s="20" t="n"/>
      <c r="Z2" s="21" t="n"/>
    </row>
    <row r="3" ht="16" customHeight="1">
      <c r="A3" s="22" t="inlineStr"/>
      <c r="B3" s="23" t="inlineStr">
        <is>
          <t>Client</t>
        </is>
      </c>
      <c r="C3" s="23" t="inlineStr">
        <is>
          <t>DII</t>
        </is>
      </c>
      <c r="D3" s="23" t="inlineStr">
        <is>
          <t>FII</t>
        </is>
      </c>
      <c r="E3" s="23" t="inlineStr">
        <is>
          <t>Pro</t>
        </is>
      </c>
      <c r="F3" s="24" t="n"/>
      <c r="G3" s="23" t="inlineStr">
        <is>
          <t>Client</t>
        </is>
      </c>
      <c r="H3" s="23" t="inlineStr">
        <is>
          <t>DII</t>
        </is>
      </c>
      <c r="I3" s="23" t="inlineStr">
        <is>
          <t>FII</t>
        </is>
      </c>
      <c r="J3" s="23" t="inlineStr">
        <is>
          <t>Pro</t>
        </is>
      </c>
      <c r="K3" s="24" t="n"/>
      <c r="L3" s="23" t="inlineStr">
        <is>
          <t>Client</t>
        </is>
      </c>
      <c r="M3" s="23" t="inlineStr">
        <is>
          <t>DII</t>
        </is>
      </c>
      <c r="N3" s="23" t="inlineStr">
        <is>
          <t>FII</t>
        </is>
      </c>
      <c r="O3" s="23" t="inlineStr">
        <is>
          <t>Pro</t>
        </is>
      </c>
      <c r="P3" s="24" t="n"/>
      <c r="Q3" s="23" t="inlineStr">
        <is>
          <t>Client</t>
        </is>
      </c>
      <c r="R3" s="23" t="inlineStr">
        <is>
          <t>DII</t>
        </is>
      </c>
      <c r="S3" s="23" t="inlineStr">
        <is>
          <t>FII</t>
        </is>
      </c>
      <c r="T3" s="23" t="inlineStr">
        <is>
          <t>Pro</t>
        </is>
      </c>
      <c r="U3" s="24" t="n"/>
      <c r="V3" s="23" t="inlineStr">
        <is>
          <t>Client</t>
        </is>
      </c>
      <c r="W3" s="23" t="inlineStr">
        <is>
          <t>DII</t>
        </is>
      </c>
      <c r="X3" s="23" t="inlineStr">
        <is>
          <t>FII</t>
        </is>
      </c>
      <c r="Y3" s="23" t="inlineStr">
        <is>
          <t>Pro</t>
        </is>
      </c>
      <c r="Z3" s="24" t="n"/>
    </row>
    <row r="4" ht="16" customHeight="1">
      <c r="A4" s="14" t="inlineStr">
        <is>
          <t>FUTURES — INDEX</t>
        </is>
      </c>
    </row>
    <row r="5" ht="14" customHeight="1">
      <c r="A5" s="25" t="inlineStr">
        <is>
          <t>Buy Volume</t>
        </is>
      </c>
      <c r="B5" s="4">
        <f>'Raw TV Data'!C3</f>
        <v/>
      </c>
      <c r="C5" s="4">
        <f>'Raw TV Data'!C4</f>
        <v/>
      </c>
      <c r="D5" s="4">
        <f>'Raw TV Data'!C5</f>
        <v/>
      </c>
      <c r="E5" s="4">
        <f>'Raw TV Data'!C6</f>
        <v/>
      </c>
      <c r="F5" s="26" t="n"/>
      <c r="G5" s="4">
        <f>'Raw TV Data'!C7</f>
        <v/>
      </c>
      <c r="H5" s="4">
        <f>'Raw TV Data'!C8</f>
        <v/>
      </c>
      <c r="I5" s="4">
        <f>'Raw TV Data'!C9</f>
        <v/>
      </c>
      <c r="J5" s="4">
        <f>'Raw TV Data'!C10</f>
        <v/>
      </c>
      <c r="K5" s="26" t="n"/>
      <c r="L5" s="4">
        <f>'Raw TV Data'!C11</f>
        <v/>
      </c>
      <c r="M5" s="4">
        <f>'Raw TV Data'!C12</f>
        <v/>
      </c>
      <c r="N5" s="4">
        <f>'Raw TV Data'!C13</f>
        <v/>
      </c>
      <c r="O5" s="4">
        <f>'Raw TV Data'!C14</f>
        <v/>
      </c>
      <c r="P5" s="26" t="n"/>
      <c r="Q5" s="4">
        <f>'Raw TV Data'!C15</f>
        <v/>
      </c>
      <c r="R5" s="4">
        <f>'Raw TV Data'!C16</f>
        <v/>
      </c>
      <c r="S5" s="4">
        <f>'Raw TV Data'!C17</f>
        <v/>
      </c>
      <c r="T5" s="4">
        <f>'Raw TV Data'!C18</f>
        <v/>
      </c>
      <c r="U5" s="26" t="n"/>
      <c r="V5" s="4">
        <f>'Raw TV Data'!C19</f>
        <v/>
      </c>
      <c r="W5" s="4">
        <f>'Raw TV Data'!C20</f>
        <v/>
      </c>
      <c r="X5" s="4">
        <f>'Raw TV Data'!C21</f>
        <v/>
      </c>
      <c r="Y5" s="4">
        <f>'Raw TV Data'!C22</f>
        <v/>
      </c>
      <c r="Z5" s="26" t="n"/>
    </row>
    <row r="6" ht="14" customHeight="1">
      <c r="A6" s="25" t="inlineStr">
        <is>
          <t>Sell Volume</t>
        </is>
      </c>
      <c r="B6" s="6">
        <f>'Raw TV Data'!D3</f>
        <v/>
      </c>
      <c r="C6" s="6">
        <f>'Raw TV Data'!D4</f>
        <v/>
      </c>
      <c r="D6" s="6">
        <f>'Raw TV Data'!D5</f>
        <v/>
      </c>
      <c r="E6" s="6">
        <f>'Raw TV Data'!D6</f>
        <v/>
      </c>
      <c r="F6" s="27" t="n"/>
      <c r="G6" s="6">
        <f>'Raw TV Data'!D7</f>
        <v/>
      </c>
      <c r="H6" s="6">
        <f>'Raw TV Data'!D8</f>
        <v/>
      </c>
      <c r="I6" s="6">
        <f>'Raw TV Data'!D9</f>
        <v/>
      </c>
      <c r="J6" s="6">
        <f>'Raw TV Data'!D10</f>
        <v/>
      </c>
      <c r="K6" s="27" t="n"/>
      <c r="L6" s="6">
        <f>'Raw TV Data'!D11</f>
        <v/>
      </c>
      <c r="M6" s="6">
        <f>'Raw TV Data'!D12</f>
        <v/>
      </c>
      <c r="N6" s="6">
        <f>'Raw TV Data'!D13</f>
        <v/>
      </c>
      <c r="O6" s="6">
        <f>'Raw TV Data'!D14</f>
        <v/>
      </c>
      <c r="P6" s="27" t="n"/>
      <c r="Q6" s="6">
        <f>'Raw TV Data'!D15</f>
        <v/>
      </c>
      <c r="R6" s="6">
        <f>'Raw TV Data'!D16</f>
        <v/>
      </c>
      <c r="S6" s="6">
        <f>'Raw TV Data'!D17</f>
        <v/>
      </c>
      <c r="T6" s="6">
        <f>'Raw TV Data'!D18</f>
        <v/>
      </c>
      <c r="U6" s="27" t="n"/>
      <c r="V6" s="6">
        <f>'Raw TV Data'!D19</f>
        <v/>
      </c>
      <c r="W6" s="6">
        <f>'Raw TV Data'!D20</f>
        <v/>
      </c>
      <c r="X6" s="6">
        <f>'Raw TV Data'!D21</f>
        <v/>
      </c>
      <c r="Y6" s="6">
        <f>'Raw TV Data'!D22</f>
        <v/>
      </c>
      <c r="Z6" s="27" t="n"/>
    </row>
    <row r="7" ht="14" customHeight="1">
      <c r="A7" s="25" t="inlineStr">
        <is>
          <t>Net Volume (B−S)</t>
        </is>
      </c>
      <c r="B7" s="28">
        <f>'Raw TV Data'!C3-'Raw TV Data'!D3</f>
        <v/>
      </c>
      <c r="C7" s="28">
        <f>'Raw TV Data'!C4-'Raw TV Data'!D4</f>
        <v/>
      </c>
      <c r="D7" s="28">
        <f>'Raw TV Data'!C5-'Raw TV Data'!D5</f>
        <v/>
      </c>
      <c r="E7" s="28">
        <f>'Raw TV Data'!C6-'Raw TV Data'!D6</f>
        <v/>
      </c>
      <c r="F7" s="26" t="n"/>
      <c r="G7" s="28">
        <f>'Raw TV Data'!C7-'Raw TV Data'!D7</f>
        <v/>
      </c>
      <c r="H7" s="28">
        <f>'Raw TV Data'!C8-'Raw TV Data'!D8</f>
        <v/>
      </c>
      <c r="I7" s="28">
        <f>'Raw TV Data'!C9-'Raw TV Data'!D9</f>
        <v/>
      </c>
      <c r="J7" s="28">
        <f>'Raw TV Data'!C10-'Raw TV Data'!D10</f>
        <v/>
      </c>
      <c r="K7" s="26" t="n"/>
      <c r="L7" s="28">
        <f>'Raw TV Data'!C11-'Raw TV Data'!D11</f>
        <v/>
      </c>
      <c r="M7" s="28">
        <f>'Raw TV Data'!C12-'Raw TV Data'!D12</f>
        <v/>
      </c>
      <c r="N7" s="28">
        <f>'Raw TV Data'!C13-'Raw TV Data'!D13</f>
        <v/>
      </c>
      <c r="O7" s="28">
        <f>'Raw TV Data'!C14-'Raw TV Data'!D14</f>
        <v/>
      </c>
      <c r="P7" s="26" t="n"/>
      <c r="Q7" s="28">
        <f>'Raw TV Data'!C15-'Raw TV Data'!D15</f>
        <v/>
      </c>
      <c r="R7" s="28">
        <f>'Raw TV Data'!C16-'Raw TV Data'!D16</f>
        <v/>
      </c>
      <c r="S7" s="28">
        <f>'Raw TV Data'!C17-'Raw TV Data'!D17</f>
        <v/>
      </c>
      <c r="T7" s="28">
        <f>'Raw TV Data'!C18-'Raw TV Data'!D18</f>
        <v/>
      </c>
      <c r="U7" s="26" t="n"/>
      <c r="V7" s="28">
        <f>'Raw TV Data'!C19-'Raw TV Data'!D19</f>
        <v/>
      </c>
      <c r="W7" s="28">
        <f>'Raw TV Data'!C20-'Raw TV Data'!D20</f>
        <v/>
      </c>
      <c r="X7" s="28">
        <f>'Raw TV Data'!C21-'Raw TV Data'!D21</f>
        <v/>
      </c>
      <c r="Y7" s="28">
        <f>'Raw TV Data'!C22-'Raw TV Data'!D22</f>
        <v/>
      </c>
      <c r="Z7" s="26" t="n"/>
    </row>
    <row r="8" ht="16" customHeight="1">
      <c r="A8" s="14" t="inlineStr">
        <is>
          <t>FUTURES — STOCK</t>
        </is>
      </c>
    </row>
    <row r="9" ht="14" customHeight="1">
      <c r="A9" s="25" t="inlineStr">
        <is>
          <t>Buy Volume</t>
        </is>
      </c>
      <c r="B9" s="4">
        <f>'Raw TV Data'!E3</f>
        <v/>
      </c>
      <c r="C9" s="4">
        <f>'Raw TV Data'!E4</f>
        <v/>
      </c>
      <c r="D9" s="4">
        <f>'Raw TV Data'!E5</f>
        <v/>
      </c>
      <c r="E9" s="4">
        <f>'Raw TV Data'!E6</f>
        <v/>
      </c>
      <c r="F9" s="26" t="n"/>
      <c r="G9" s="4">
        <f>'Raw TV Data'!E7</f>
        <v/>
      </c>
      <c r="H9" s="4">
        <f>'Raw TV Data'!E8</f>
        <v/>
      </c>
      <c r="I9" s="4">
        <f>'Raw TV Data'!E9</f>
        <v/>
      </c>
      <c r="J9" s="4">
        <f>'Raw TV Data'!E10</f>
        <v/>
      </c>
      <c r="K9" s="26" t="n"/>
      <c r="L9" s="4">
        <f>'Raw TV Data'!E11</f>
        <v/>
      </c>
      <c r="M9" s="4">
        <f>'Raw TV Data'!E12</f>
        <v/>
      </c>
      <c r="N9" s="4">
        <f>'Raw TV Data'!E13</f>
        <v/>
      </c>
      <c r="O9" s="4">
        <f>'Raw TV Data'!E14</f>
        <v/>
      </c>
      <c r="P9" s="26" t="n"/>
      <c r="Q9" s="4">
        <f>'Raw TV Data'!E15</f>
        <v/>
      </c>
      <c r="R9" s="4">
        <f>'Raw TV Data'!E16</f>
        <v/>
      </c>
      <c r="S9" s="4">
        <f>'Raw TV Data'!E17</f>
        <v/>
      </c>
      <c r="T9" s="4">
        <f>'Raw TV Data'!E18</f>
        <v/>
      </c>
      <c r="U9" s="26" t="n"/>
      <c r="V9" s="4">
        <f>'Raw TV Data'!E19</f>
        <v/>
      </c>
      <c r="W9" s="4">
        <f>'Raw TV Data'!E20</f>
        <v/>
      </c>
      <c r="X9" s="4">
        <f>'Raw TV Data'!E21</f>
        <v/>
      </c>
      <c r="Y9" s="4">
        <f>'Raw TV Data'!E22</f>
        <v/>
      </c>
      <c r="Z9" s="26" t="n"/>
    </row>
    <row r="10" ht="14" customHeight="1">
      <c r="A10" s="25" t="inlineStr">
        <is>
          <t>Sell Volume</t>
        </is>
      </c>
      <c r="B10" s="6">
        <f>'Raw TV Data'!F3</f>
        <v/>
      </c>
      <c r="C10" s="6">
        <f>'Raw TV Data'!F4</f>
        <v/>
      </c>
      <c r="D10" s="6">
        <f>'Raw TV Data'!F5</f>
        <v/>
      </c>
      <c r="E10" s="6">
        <f>'Raw TV Data'!F6</f>
        <v/>
      </c>
      <c r="F10" s="27" t="n"/>
      <c r="G10" s="6">
        <f>'Raw TV Data'!F7</f>
        <v/>
      </c>
      <c r="H10" s="6">
        <f>'Raw TV Data'!F8</f>
        <v/>
      </c>
      <c r="I10" s="6">
        <f>'Raw TV Data'!F9</f>
        <v/>
      </c>
      <c r="J10" s="6">
        <f>'Raw TV Data'!F10</f>
        <v/>
      </c>
      <c r="K10" s="27" t="n"/>
      <c r="L10" s="6">
        <f>'Raw TV Data'!F11</f>
        <v/>
      </c>
      <c r="M10" s="6">
        <f>'Raw TV Data'!F12</f>
        <v/>
      </c>
      <c r="N10" s="6">
        <f>'Raw TV Data'!F13</f>
        <v/>
      </c>
      <c r="O10" s="6">
        <f>'Raw TV Data'!F14</f>
        <v/>
      </c>
      <c r="P10" s="27" t="n"/>
      <c r="Q10" s="6">
        <f>'Raw TV Data'!F15</f>
        <v/>
      </c>
      <c r="R10" s="6">
        <f>'Raw TV Data'!F16</f>
        <v/>
      </c>
      <c r="S10" s="6">
        <f>'Raw TV Data'!F17</f>
        <v/>
      </c>
      <c r="T10" s="6">
        <f>'Raw TV Data'!F18</f>
        <v/>
      </c>
      <c r="U10" s="27" t="n"/>
      <c r="V10" s="6">
        <f>'Raw TV Data'!F19</f>
        <v/>
      </c>
      <c r="W10" s="6">
        <f>'Raw TV Data'!F20</f>
        <v/>
      </c>
      <c r="X10" s="6">
        <f>'Raw TV Data'!F21</f>
        <v/>
      </c>
      <c r="Y10" s="6">
        <f>'Raw TV Data'!F22</f>
        <v/>
      </c>
      <c r="Z10" s="27" t="n"/>
    </row>
    <row r="11" ht="14" customHeight="1">
      <c r="A11" s="25" t="inlineStr">
        <is>
          <t>Net Volume (B−S)</t>
        </is>
      </c>
      <c r="B11" s="28">
        <f>'Raw TV Data'!E3-'Raw TV Data'!F3</f>
        <v/>
      </c>
      <c r="C11" s="28">
        <f>'Raw TV Data'!E4-'Raw TV Data'!F4</f>
        <v/>
      </c>
      <c r="D11" s="28">
        <f>'Raw TV Data'!E5-'Raw TV Data'!F5</f>
        <v/>
      </c>
      <c r="E11" s="28">
        <f>'Raw TV Data'!E6-'Raw TV Data'!F6</f>
        <v/>
      </c>
      <c r="F11" s="26" t="n"/>
      <c r="G11" s="28">
        <f>'Raw TV Data'!E7-'Raw TV Data'!F7</f>
        <v/>
      </c>
      <c r="H11" s="28">
        <f>'Raw TV Data'!E8-'Raw TV Data'!F8</f>
        <v/>
      </c>
      <c r="I11" s="28">
        <f>'Raw TV Data'!E9-'Raw TV Data'!F9</f>
        <v/>
      </c>
      <c r="J11" s="28">
        <f>'Raw TV Data'!E10-'Raw TV Data'!F10</f>
        <v/>
      </c>
      <c r="K11" s="26" t="n"/>
      <c r="L11" s="28">
        <f>'Raw TV Data'!E11-'Raw TV Data'!F11</f>
        <v/>
      </c>
      <c r="M11" s="28">
        <f>'Raw TV Data'!E12-'Raw TV Data'!F12</f>
        <v/>
      </c>
      <c r="N11" s="28">
        <f>'Raw TV Data'!E13-'Raw TV Data'!F13</f>
        <v/>
      </c>
      <c r="O11" s="28">
        <f>'Raw TV Data'!E14-'Raw TV Data'!F14</f>
        <v/>
      </c>
      <c r="P11" s="26" t="n"/>
      <c r="Q11" s="28">
        <f>'Raw TV Data'!E15-'Raw TV Data'!F15</f>
        <v/>
      </c>
      <c r="R11" s="28">
        <f>'Raw TV Data'!E16-'Raw TV Data'!F16</f>
        <v/>
      </c>
      <c r="S11" s="28">
        <f>'Raw TV Data'!E17-'Raw TV Data'!F17</f>
        <v/>
      </c>
      <c r="T11" s="28">
        <f>'Raw TV Data'!E18-'Raw TV Data'!F18</f>
        <v/>
      </c>
      <c r="U11" s="26" t="n"/>
      <c r="V11" s="28">
        <f>'Raw TV Data'!E19-'Raw TV Data'!F19</f>
        <v/>
      </c>
      <c r="W11" s="28">
        <f>'Raw TV Data'!E20-'Raw TV Data'!F20</f>
        <v/>
      </c>
      <c r="X11" s="28">
        <f>'Raw TV Data'!E21-'Raw TV Data'!F21</f>
        <v/>
      </c>
      <c r="Y11" s="28">
        <f>'Raw TV Data'!E22-'Raw TV Data'!F22</f>
        <v/>
      </c>
      <c r="Z11" s="26" t="n"/>
    </row>
    <row r="12" ht="16" customHeight="1">
      <c r="A12" s="14" t="inlineStr">
        <is>
          <t>OPTIONS — INDEX</t>
        </is>
      </c>
    </row>
    <row r="13" ht="14" customHeight="1">
      <c r="A13" s="25" t="inlineStr">
        <is>
          <t>Call Buy Volume</t>
        </is>
      </c>
      <c r="B13" s="4">
        <f>'Raw TV Data'!G3</f>
        <v/>
      </c>
      <c r="C13" s="4">
        <f>'Raw TV Data'!G4</f>
        <v/>
      </c>
      <c r="D13" s="4">
        <f>'Raw TV Data'!G5</f>
        <v/>
      </c>
      <c r="E13" s="4">
        <f>'Raw TV Data'!G6</f>
        <v/>
      </c>
      <c r="F13" s="26" t="n"/>
      <c r="G13" s="4">
        <f>'Raw TV Data'!G7</f>
        <v/>
      </c>
      <c r="H13" s="4">
        <f>'Raw TV Data'!G8</f>
        <v/>
      </c>
      <c r="I13" s="4">
        <f>'Raw TV Data'!G9</f>
        <v/>
      </c>
      <c r="J13" s="4">
        <f>'Raw TV Data'!G10</f>
        <v/>
      </c>
      <c r="K13" s="26" t="n"/>
      <c r="L13" s="4">
        <f>'Raw TV Data'!G11</f>
        <v/>
      </c>
      <c r="M13" s="4">
        <f>'Raw TV Data'!G12</f>
        <v/>
      </c>
      <c r="N13" s="4">
        <f>'Raw TV Data'!G13</f>
        <v/>
      </c>
      <c r="O13" s="4">
        <f>'Raw TV Data'!G14</f>
        <v/>
      </c>
      <c r="P13" s="26" t="n"/>
      <c r="Q13" s="4">
        <f>'Raw TV Data'!G15</f>
        <v/>
      </c>
      <c r="R13" s="4">
        <f>'Raw TV Data'!G16</f>
        <v/>
      </c>
      <c r="S13" s="4">
        <f>'Raw TV Data'!G17</f>
        <v/>
      </c>
      <c r="T13" s="4">
        <f>'Raw TV Data'!G18</f>
        <v/>
      </c>
      <c r="U13" s="26" t="n"/>
      <c r="V13" s="4">
        <f>'Raw TV Data'!G19</f>
        <v/>
      </c>
      <c r="W13" s="4">
        <f>'Raw TV Data'!G20</f>
        <v/>
      </c>
      <c r="X13" s="4">
        <f>'Raw TV Data'!G21</f>
        <v/>
      </c>
      <c r="Y13" s="4">
        <f>'Raw TV Data'!G22</f>
        <v/>
      </c>
      <c r="Z13" s="26" t="n"/>
    </row>
    <row r="14" ht="14" customHeight="1">
      <c r="A14" s="25" t="inlineStr">
        <is>
          <t>Put Buy Volume</t>
        </is>
      </c>
      <c r="B14" s="6">
        <f>'Raw TV Data'!H3</f>
        <v/>
      </c>
      <c r="C14" s="6">
        <f>'Raw TV Data'!H4</f>
        <v/>
      </c>
      <c r="D14" s="6">
        <f>'Raw TV Data'!H5</f>
        <v/>
      </c>
      <c r="E14" s="6">
        <f>'Raw TV Data'!H6</f>
        <v/>
      </c>
      <c r="F14" s="27" t="n"/>
      <c r="G14" s="6">
        <f>'Raw TV Data'!H7</f>
        <v/>
      </c>
      <c r="H14" s="6">
        <f>'Raw TV Data'!H8</f>
        <v/>
      </c>
      <c r="I14" s="6">
        <f>'Raw TV Data'!H9</f>
        <v/>
      </c>
      <c r="J14" s="6">
        <f>'Raw TV Data'!H10</f>
        <v/>
      </c>
      <c r="K14" s="27" t="n"/>
      <c r="L14" s="6">
        <f>'Raw TV Data'!H11</f>
        <v/>
      </c>
      <c r="M14" s="6">
        <f>'Raw TV Data'!H12</f>
        <v/>
      </c>
      <c r="N14" s="6">
        <f>'Raw TV Data'!H13</f>
        <v/>
      </c>
      <c r="O14" s="6">
        <f>'Raw TV Data'!H14</f>
        <v/>
      </c>
      <c r="P14" s="27" t="n"/>
      <c r="Q14" s="6">
        <f>'Raw TV Data'!H15</f>
        <v/>
      </c>
      <c r="R14" s="6">
        <f>'Raw TV Data'!H16</f>
        <v/>
      </c>
      <c r="S14" s="6">
        <f>'Raw TV Data'!H17</f>
        <v/>
      </c>
      <c r="T14" s="6">
        <f>'Raw TV Data'!H18</f>
        <v/>
      </c>
      <c r="U14" s="27" t="n"/>
      <c r="V14" s="6">
        <f>'Raw TV Data'!H19</f>
        <v/>
      </c>
      <c r="W14" s="6">
        <f>'Raw TV Data'!H20</f>
        <v/>
      </c>
      <c r="X14" s="6">
        <f>'Raw TV Data'!H21</f>
        <v/>
      </c>
      <c r="Y14" s="6">
        <f>'Raw TV Data'!H22</f>
        <v/>
      </c>
      <c r="Z14" s="27" t="n"/>
    </row>
    <row r="15" ht="14" customHeight="1">
      <c r="A15" s="25" t="inlineStr">
        <is>
          <t>Volume PCR</t>
        </is>
      </c>
      <c r="B15" s="18">
        <f>IFERROR('Raw TV Data'!H3/'Raw TV Data'!G3,0)</f>
        <v/>
      </c>
      <c r="C15" s="18">
        <f>IFERROR('Raw TV Data'!H4/'Raw TV Data'!G4,0)</f>
        <v/>
      </c>
      <c r="D15" s="18">
        <f>IFERROR('Raw TV Data'!H5/'Raw TV Data'!G5,0)</f>
        <v/>
      </c>
      <c r="E15" s="18">
        <f>IFERROR('Raw TV Data'!H6/'Raw TV Data'!G6,0)</f>
        <v/>
      </c>
      <c r="F15" s="26" t="n"/>
      <c r="G15" s="18">
        <f>IFERROR('Raw TV Data'!H7/'Raw TV Data'!G7,0)</f>
        <v/>
      </c>
      <c r="H15" s="18">
        <f>IFERROR('Raw TV Data'!H8/'Raw TV Data'!G8,0)</f>
        <v/>
      </c>
      <c r="I15" s="18">
        <f>IFERROR('Raw TV Data'!H9/'Raw TV Data'!G9,0)</f>
        <v/>
      </c>
      <c r="J15" s="18">
        <f>IFERROR('Raw TV Data'!H10/'Raw TV Data'!G10,0)</f>
        <v/>
      </c>
      <c r="K15" s="26" t="n"/>
      <c r="L15" s="18">
        <f>IFERROR('Raw TV Data'!H11/'Raw TV Data'!G11,0)</f>
        <v/>
      </c>
      <c r="M15" s="18">
        <f>IFERROR('Raw TV Data'!H12/'Raw TV Data'!G12,0)</f>
        <v/>
      </c>
      <c r="N15" s="18">
        <f>IFERROR('Raw TV Data'!H13/'Raw TV Data'!G13,0)</f>
        <v/>
      </c>
      <c r="O15" s="18">
        <f>IFERROR('Raw TV Data'!H14/'Raw TV Data'!G14,0)</f>
        <v/>
      </c>
      <c r="P15" s="26" t="n"/>
      <c r="Q15" s="18">
        <f>IFERROR('Raw TV Data'!H15/'Raw TV Data'!G15,0)</f>
        <v/>
      </c>
      <c r="R15" s="18">
        <f>IFERROR('Raw TV Data'!H16/'Raw TV Data'!G16,0)</f>
        <v/>
      </c>
      <c r="S15" s="18">
        <f>IFERROR('Raw TV Data'!H17/'Raw TV Data'!G17,0)</f>
        <v/>
      </c>
      <c r="T15" s="18">
        <f>IFERROR('Raw TV Data'!H18/'Raw TV Data'!G18,0)</f>
        <v/>
      </c>
      <c r="U15" s="26" t="n"/>
      <c r="V15" s="18">
        <f>IFERROR('Raw TV Data'!H19/'Raw TV Data'!G19,0)</f>
        <v/>
      </c>
      <c r="W15" s="18">
        <f>IFERROR('Raw TV Data'!H20/'Raw TV Data'!G20,0)</f>
        <v/>
      </c>
      <c r="X15" s="18">
        <f>IFERROR('Raw TV Data'!H21/'Raw TV Data'!G21,0)</f>
        <v/>
      </c>
      <c r="Y15" s="18">
        <f>IFERROR('Raw TV Data'!H22/'Raw TV Data'!G22,0)</f>
        <v/>
      </c>
      <c r="Z15" s="26" t="n"/>
    </row>
    <row r="16" ht="14" customHeight="1">
      <c r="A16" s="25" t="inlineStr">
        <is>
          <t>Call Sell Volume</t>
        </is>
      </c>
      <c r="B16" s="6">
        <f>'Raw TV Data'!I3</f>
        <v/>
      </c>
      <c r="C16" s="6">
        <f>'Raw TV Data'!I4</f>
        <v/>
      </c>
      <c r="D16" s="6">
        <f>'Raw TV Data'!I5</f>
        <v/>
      </c>
      <c r="E16" s="6">
        <f>'Raw TV Data'!I6</f>
        <v/>
      </c>
      <c r="F16" s="27" t="n"/>
      <c r="G16" s="6">
        <f>'Raw TV Data'!I7</f>
        <v/>
      </c>
      <c r="H16" s="6">
        <f>'Raw TV Data'!I8</f>
        <v/>
      </c>
      <c r="I16" s="6">
        <f>'Raw TV Data'!I9</f>
        <v/>
      </c>
      <c r="J16" s="6">
        <f>'Raw TV Data'!I10</f>
        <v/>
      </c>
      <c r="K16" s="27" t="n"/>
      <c r="L16" s="6">
        <f>'Raw TV Data'!I11</f>
        <v/>
      </c>
      <c r="M16" s="6">
        <f>'Raw TV Data'!I12</f>
        <v/>
      </c>
      <c r="N16" s="6">
        <f>'Raw TV Data'!I13</f>
        <v/>
      </c>
      <c r="O16" s="6">
        <f>'Raw TV Data'!I14</f>
        <v/>
      </c>
      <c r="P16" s="27" t="n"/>
      <c r="Q16" s="6">
        <f>'Raw TV Data'!I15</f>
        <v/>
      </c>
      <c r="R16" s="6">
        <f>'Raw TV Data'!I16</f>
        <v/>
      </c>
      <c r="S16" s="6">
        <f>'Raw TV Data'!I17</f>
        <v/>
      </c>
      <c r="T16" s="6">
        <f>'Raw TV Data'!I18</f>
        <v/>
      </c>
      <c r="U16" s="27" t="n"/>
      <c r="V16" s="6">
        <f>'Raw TV Data'!I19</f>
        <v/>
      </c>
      <c r="W16" s="6">
        <f>'Raw TV Data'!I20</f>
        <v/>
      </c>
      <c r="X16" s="6">
        <f>'Raw TV Data'!I21</f>
        <v/>
      </c>
      <c r="Y16" s="6">
        <f>'Raw TV Data'!I22</f>
        <v/>
      </c>
      <c r="Z16" s="27" t="n"/>
    </row>
    <row r="17" ht="14" customHeight="1">
      <c r="A17" s="25" t="inlineStr">
        <is>
          <t>Put Sell Volume</t>
        </is>
      </c>
      <c r="B17" s="4">
        <f>'Raw TV Data'!J3</f>
        <v/>
      </c>
      <c r="C17" s="4">
        <f>'Raw TV Data'!J4</f>
        <v/>
      </c>
      <c r="D17" s="4">
        <f>'Raw TV Data'!J5</f>
        <v/>
      </c>
      <c r="E17" s="4">
        <f>'Raw TV Data'!J6</f>
        <v/>
      </c>
      <c r="F17" s="26" t="n"/>
      <c r="G17" s="4">
        <f>'Raw TV Data'!J7</f>
        <v/>
      </c>
      <c r="H17" s="4">
        <f>'Raw TV Data'!J8</f>
        <v/>
      </c>
      <c r="I17" s="4">
        <f>'Raw TV Data'!J9</f>
        <v/>
      </c>
      <c r="J17" s="4">
        <f>'Raw TV Data'!J10</f>
        <v/>
      </c>
      <c r="K17" s="26" t="n"/>
      <c r="L17" s="4">
        <f>'Raw TV Data'!J11</f>
        <v/>
      </c>
      <c r="M17" s="4">
        <f>'Raw TV Data'!J12</f>
        <v/>
      </c>
      <c r="N17" s="4">
        <f>'Raw TV Data'!J13</f>
        <v/>
      </c>
      <c r="O17" s="4">
        <f>'Raw TV Data'!J14</f>
        <v/>
      </c>
      <c r="P17" s="26" t="n"/>
      <c r="Q17" s="4">
        <f>'Raw TV Data'!J15</f>
        <v/>
      </c>
      <c r="R17" s="4">
        <f>'Raw TV Data'!J16</f>
        <v/>
      </c>
      <c r="S17" s="4">
        <f>'Raw TV Data'!J17</f>
        <v/>
      </c>
      <c r="T17" s="4">
        <f>'Raw TV Data'!J18</f>
        <v/>
      </c>
      <c r="U17" s="26" t="n"/>
      <c r="V17" s="4">
        <f>'Raw TV Data'!J19</f>
        <v/>
      </c>
      <c r="W17" s="4">
        <f>'Raw TV Data'!J20</f>
        <v/>
      </c>
      <c r="X17" s="4">
        <f>'Raw TV Data'!J21</f>
        <v/>
      </c>
      <c r="Y17" s="4">
        <f>'Raw TV Data'!J22</f>
        <v/>
      </c>
      <c r="Z17" s="26" t="n"/>
    </row>
    <row r="18" ht="16" customHeight="1">
      <c r="A18" s="14" t="inlineStr">
        <is>
          <t>OPTIONS — STOCK</t>
        </is>
      </c>
    </row>
    <row r="19" ht="14" customHeight="1">
      <c r="A19" s="25" t="inlineStr">
        <is>
          <t>Call Buy Volume</t>
        </is>
      </c>
      <c r="B19" s="4">
        <f>'Raw TV Data'!K3</f>
        <v/>
      </c>
      <c r="C19" s="4">
        <f>'Raw TV Data'!K4</f>
        <v/>
      </c>
      <c r="D19" s="4">
        <f>'Raw TV Data'!K5</f>
        <v/>
      </c>
      <c r="E19" s="4">
        <f>'Raw TV Data'!K6</f>
        <v/>
      </c>
      <c r="F19" s="26" t="n"/>
      <c r="G19" s="4">
        <f>'Raw TV Data'!K7</f>
        <v/>
      </c>
      <c r="H19" s="4">
        <f>'Raw TV Data'!K8</f>
        <v/>
      </c>
      <c r="I19" s="4">
        <f>'Raw TV Data'!K9</f>
        <v/>
      </c>
      <c r="J19" s="4">
        <f>'Raw TV Data'!K10</f>
        <v/>
      </c>
      <c r="K19" s="26" t="n"/>
      <c r="L19" s="4">
        <f>'Raw TV Data'!K11</f>
        <v/>
      </c>
      <c r="M19" s="4">
        <f>'Raw TV Data'!K12</f>
        <v/>
      </c>
      <c r="N19" s="4">
        <f>'Raw TV Data'!K13</f>
        <v/>
      </c>
      <c r="O19" s="4">
        <f>'Raw TV Data'!K14</f>
        <v/>
      </c>
      <c r="P19" s="26" t="n"/>
      <c r="Q19" s="4">
        <f>'Raw TV Data'!K15</f>
        <v/>
      </c>
      <c r="R19" s="4">
        <f>'Raw TV Data'!K16</f>
        <v/>
      </c>
      <c r="S19" s="4">
        <f>'Raw TV Data'!K17</f>
        <v/>
      </c>
      <c r="T19" s="4">
        <f>'Raw TV Data'!K18</f>
        <v/>
      </c>
      <c r="U19" s="26" t="n"/>
      <c r="V19" s="4">
        <f>'Raw TV Data'!K19</f>
        <v/>
      </c>
      <c r="W19" s="4">
        <f>'Raw TV Data'!K20</f>
        <v/>
      </c>
      <c r="X19" s="4">
        <f>'Raw TV Data'!K21</f>
        <v/>
      </c>
      <c r="Y19" s="4">
        <f>'Raw TV Data'!K22</f>
        <v/>
      </c>
      <c r="Z19" s="26" t="n"/>
    </row>
    <row r="20" ht="14" customHeight="1">
      <c r="A20" s="25" t="inlineStr">
        <is>
          <t>Put Buy Volume</t>
        </is>
      </c>
      <c r="B20" s="6">
        <f>'Raw TV Data'!L3</f>
        <v/>
      </c>
      <c r="C20" s="6">
        <f>'Raw TV Data'!L4</f>
        <v/>
      </c>
      <c r="D20" s="6">
        <f>'Raw TV Data'!L5</f>
        <v/>
      </c>
      <c r="E20" s="6">
        <f>'Raw TV Data'!L6</f>
        <v/>
      </c>
      <c r="F20" s="27" t="n"/>
      <c r="G20" s="6">
        <f>'Raw TV Data'!L7</f>
        <v/>
      </c>
      <c r="H20" s="6">
        <f>'Raw TV Data'!L8</f>
        <v/>
      </c>
      <c r="I20" s="6">
        <f>'Raw TV Data'!L9</f>
        <v/>
      </c>
      <c r="J20" s="6">
        <f>'Raw TV Data'!L10</f>
        <v/>
      </c>
      <c r="K20" s="27" t="n"/>
      <c r="L20" s="6">
        <f>'Raw TV Data'!L11</f>
        <v/>
      </c>
      <c r="M20" s="6">
        <f>'Raw TV Data'!L12</f>
        <v/>
      </c>
      <c r="N20" s="6">
        <f>'Raw TV Data'!L13</f>
        <v/>
      </c>
      <c r="O20" s="6">
        <f>'Raw TV Data'!L14</f>
        <v/>
      </c>
      <c r="P20" s="27" t="n"/>
      <c r="Q20" s="6">
        <f>'Raw TV Data'!L15</f>
        <v/>
      </c>
      <c r="R20" s="6">
        <f>'Raw TV Data'!L16</f>
        <v/>
      </c>
      <c r="S20" s="6">
        <f>'Raw TV Data'!L17</f>
        <v/>
      </c>
      <c r="T20" s="6">
        <f>'Raw TV Data'!L18</f>
        <v/>
      </c>
      <c r="U20" s="27" t="n"/>
      <c r="V20" s="6">
        <f>'Raw TV Data'!L19</f>
        <v/>
      </c>
      <c r="W20" s="6">
        <f>'Raw TV Data'!L20</f>
        <v/>
      </c>
      <c r="X20" s="6">
        <f>'Raw TV Data'!L21</f>
        <v/>
      </c>
      <c r="Y20" s="6">
        <f>'Raw TV Data'!L22</f>
        <v/>
      </c>
      <c r="Z20" s="27" t="n"/>
    </row>
    <row r="21" ht="14" customHeight="1">
      <c r="A21" s="25" t="inlineStr">
        <is>
          <t>Volume PCR</t>
        </is>
      </c>
      <c r="B21" s="18">
        <f>IFERROR('Raw TV Data'!L3/'Raw TV Data'!K3,0)</f>
        <v/>
      </c>
      <c r="C21" s="18">
        <f>IFERROR('Raw TV Data'!L4/'Raw TV Data'!K4,0)</f>
        <v/>
      </c>
      <c r="D21" s="18">
        <f>IFERROR('Raw TV Data'!L5/'Raw TV Data'!K5,0)</f>
        <v/>
      </c>
      <c r="E21" s="18">
        <f>IFERROR('Raw TV Data'!L6/'Raw TV Data'!K6,0)</f>
        <v/>
      </c>
      <c r="F21" s="26" t="n"/>
      <c r="G21" s="18">
        <f>IFERROR('Raw TV Data'!L7/'Raw TV Data'!K7,0)</f>
        <v/>
      </c>
      <c r="H21" s="18">
        <f>IFERROR('Raw TV Data'!L8/'Raw TV Data'!K8,0)</f>
        <v/>
      </c>
      <c r="I21" s="18">
        <f>IFERROR('Raw TV Data'!L9/'Raw TV Data'!K9,0)</f>
        <v/>
      </c>
      <c r="J21" s="18">
        <f>IFERROR('Raw TV Data'!L10/'Raw TV Data'!K10,0)</f>
        <v/>
      </c>
      <c r="K21" s="26" t="n"/>
      <c r="L21" s="18">
        <f>IFERROR('Raw TV Data'!L11/'Raw TV Data'!K11,0)</f>
        <v/>
      </c>
      <c r="M21" s="18">
        <f>IFERROR('Raw TV Data'!L12/'Raw TV Data'!K12,0)</f>
        <v/>
      </c>
      <c r="N21" s="18">
        <f>IFERROR('Raw TV Data'!L13/'Raw TV Data'!K13,0)</f>
        <v/>
      </c>
      <c r="O21" s="18">
        <f>IFERROR('Raw TV Data'!L14/'Raw TV Data'!K14,0)</f>
        <v/>
      </c>
      <c r="P21" s="26" t="n"/>
      <c r="Q21" s="18">
        <f>IFERROR('Raw TV Data'!L15/'Raw TV Data'!K15,0)</f>
        <v/>
      </c>
      <c r="R21" s="18">
        <f>IFERROR('Raw TV Data'!L16/'Raw TV Data'!K16,0)</f>
        <v/>
      </c>
      <c r="S21" s="18">
        <f>IFERROR('Raw TV Data'!L17/'Raw TV Data'!K17,0)</f>
        <v/>
      </c>
      <c r="T21" s="18">
        <f>IFERROR('Raw TV Data'!L18/'Raw TV Data'!K18,0)</f>
        <v/>
      </c>
      <c r="U21" s="26" t="n"/>
      <c r="V21" s="18">
        <f>IFERROR('Raw TV Data'!L19/'Raw TV Data'!K19,0)</f>
        <v/>
      </c>
      <c r="W21" s="18">
        <f>IFERROR('Raw TV Data'!L20/'Raw TV Data'!K20,0)</f>
        <v/>
      </c>
      <c r="X21" s="18">
        <f>IFERROR('Raw TV Data'!L21/'Raw TV Data'!K21,0)</f>
        <v/>
      </c>
      <c r="Y21" s="18">
        <f>IFERROR('Raw TV Data'!L22/'Raw TV Data'!K22,0)</f>
        <v/>
      </c>
      <c r="Z21" s="26" t="n"/>
    </row>
    <row r="22" ht="14" customHeight="1">
      <c r="A22" s="25" t="inlineStr">
        <is>
          <t>Call Sell Volume</t>
        </is>
      </c>
      <c r="B22" s="6">
        <f>'Raw TV Data'!M3</f>
        <v/>
      </c>
      <c r="C22" s="6">
        <f>'Raw TV Data'!M4</f>
        <v/>
      </c>
      <c r="D22" s="6">
        <f>'Raw TV Data'!M5</f>
        <v/>
      </c>
      <c r="E22" s="6">
        <f>'Raw TV Data'!M6</f>
        <v/>
      </c>
      <c r="F22" s="27" t="n"/>
      <c r="G22" s="6">
        <f>'Raw TV Data'!M7</f>
        <v/>
      </c>
      <c r="H22" s="6">
        <f>'Raw TV Data'!M8</f>
        <v/>
      </c>
      <c r="I22" s="6">
        <f>'Raw TV Data'!M9</f>
        <v/>
      </c>
      <c r="J22" s="6">
        <f>'Raw TV Data'!M10</f>
        <v/>
      </c>
      <c r="K22" s="27" t="n"/>
      <c r="L22" s="6">
        <f>'Raw TV Data'!M11</f>
        <v/>
      </c>
      <c r="M22" s="6">
        <f>'Raw TV Data'!M12</f>
        <v/>
      </c>
      <c r="N22" s="6">
        <f>'Raw TV Data'!M13</f>
        <v/>
      </c>
      <c r="O22" s="6">
        <f>'Raw TV Data'!M14</f>
        <v/>
      </c>
      <c r="P22" s="27" t="n"/>
      <c r="Q22" s="6">
        <f>'Raw TV Data'!M15</f>
        <v/>
      </c>
      <c r="R22" s="6">
        <f>'Raw TV Data'!M16</f>
        <v/>
      </c>
      <c r="S22" s="6">
        <f>'Raw TV Data'!M17</f>
        <v/>
      </c>
      <c r="T22" s="6">
        <f>'Raw TV Data'!M18</f>
        <v/>
      </c>
      <c r="U22" s="27" t="n"/>
      <c r="V22" s="6">
        <f>'Raw TV Data'!M19</f>
        <v/>
      </c>
      <c r="W22" s="6">
        <f>'Raw TV Data'!M20</f>
        <v/>
      </c>
      <c r="X22" s="6">
        <f>'Raw TV Data'!M21</f>
        <v/>
      </c>
      <c r="Y22" s="6">
        <f>'Raw TV Data'!M22</f>
        <v/>
      </c>
      <c r="Z22" s="27" t="n"/>
    </row>
    <row r="23" ht="14" customHeight="1">
      <c r="A23" s="25" t="inlineStr">
        <is>
          <t>Put Sell Volume</t>
        </is>
      </c>
      <c r="B23" s="4">
        <f>'Raw TV Data'!N3</f>
        <v/>
      </c>
      <c r="C23" s="4">
        <f>'Raw TV Data'!N4</f>
        <v/>
      </c>
      <c r="D23" s="4">
        <f>'Raw TV Data'!N5</f>
        <v/>
      </c>
      <c r="E23" s="4">
        <f>'Raw TV Data'!N6</f>
        <v/>
      </c>
      <c r="F23" s="26" t="n"/>
      <c r="G23" s="4">
        <f>'Raw TV Data'!N7</f>
        <v/>
      </c>
      <c r="H23" s="4">
        <f>'Raw TV Data'!N8</f>
        <v/>
      </c>
      <c r="I23" s="4">
        <f>'Raw TV Data'!N9</f>
        <v/>
      </c>
      <c r="J23" s="4">
        <f>'Raw TV Data'!N10</f>
        <v/>
      </c>
      <c r="K23" s="26" t="n"/>
      <c r="L23" s="4">
        <f>'Raw TV Data'!N11</f>
        <v/>
      </c>
      <c r="M23" s="4">
        <f>'Raw TV Data'!N12</f>
        <v/>
      </c>
      <c r="N23" s="4">
        <f>'Raw TV Data'!N13</f>
        <v/>
      </c>
      <c r="O23" s="4">
        <f>'Raw TV Data'!N14</f>
        <v/>
      </c>
      <c r="P23" s="26" t="n"/>
      <c r="Q23" s="4">
        <f>'Raw TV Data'!N15</f>
        <v/>
      </c>
      <c r="R23" s="4">
        <f>'Raw TV Data'!N16</f>
        <v/>
      </c>
      <c r="S23" s="4">
        <f>'Raw TV Data'!N17</f>
        <v/>
      </c>
      <c r="T23" s="4">
        <f>'Raw TV Data'!N18</f>
        <v/>
      </c>
      <c r="U23" s="26" t="n"/>
      <c r="V23" s="4">
        <f>'Raw TV Data'!N19</f>
        <v/>
      </c>
      <c r="W23" s="4">
        <f>'Raw TV Data'!N20</f>
        <v/>
      </c>
      <c r="X23" s="4">
        <f>'Raw TV Data'!N21</f>
        <v/>
      </c>
      <c r="Y23" s="4">
        <f>'Raw TV Data'!N22</f>
        <v/>
      </c>
      <c r="Z23" s="26" t="n"/>
    </row>
    <row r="24" ht="16" customHeight="1">
      <c r="A24" s="14" t="inlineStr">
        <is>
          <t>TOTAL VOLUME</t>
        </is>
      </c>
    </row>
    <row r="25" ht="14" customHeight="1">
      <c r="A25" s="25" t="inlineStr">
        <is>
          <t>Total Buy</t>
        </is>
      </c>
      <c r="B25" s="4">
        <f>'Raw TV Data'!O3</f>
        <v/>
      </c>
      <c r="C25" s="4">
        <f>'Raw TV Data'!O4</f>
        <v/>
      </c>
      <c r="D25" s="4">
        <f>'Raw TV Data'!O5</f>
        <v/>
      </c>
      <c r="E25" s="4">
        <f>'Raw TV Data'!O6</f>
        <v/>
      </c>
      <c r="F25" s="26" t="n"/>
      <c r="G25" s="4">
        <f>'Raw TV Data'!O7</f>
        <v/>
      </c>
      <c r="H25" s="4">
        <f>'Raw TV Data'!O8</f>
        <v/>
      </c>
      <c r="I25" s="4">
        <f>'Raw TV Data'!O9</f>
        <v/>
      </c>
      <c r="J25" s="4">
        <f>'Raw TV Data'!O10</f>
        <v/>
      </c>
      <c r="K25" s="26" t="n"/>
      <c r="L25" s="4">
        <f>'Raw TV Data'!O11</f>
        <v/>
      </c>
      <c r="M25" s="4">
        <f>'Raw TV Data'!O12</f>
        <v/>
      </c>
      <c r="N25" s="4">
        <f>'Raw TV Data'!O13</f>
        <v/>
      </c>
      <c r="O25" s="4">
        <f>'Raw TV Data'!O14</f>
        <v/>
      </c>
      <c r="P25" s="26" t="n"/>
      <c r="Q25" s="4">
        <f>'Raw TV Data'!O15</f>
        <v/>
      </c>
      <c r="R25" s="4">
        <f>'Raw TV Data'!O16</f>
        <v/>
      </c>
      <c r="S25" s="4">
        <f>'Raw TV Data'!O17</f>
        <v/>
      </c>
      <c r="T25" s="4">
        <f>'Raw TV Data'!O18</f>
        <v/>
      </c>
      <c r="U25" s="26" t="n"/>
      <c r="V25" s="4">
        <f>'Raw TV Data'!O19</f>
        <v/>
      </c>
      <c r="W25" s="4">
        <f>'Raw TV Data'!O20</f>
        <v/>
      </c>
      <c r="X25" s="4">
        <f>'Raw TV Data'!O21</f>
        <v/>
      </c>
      <c r="Y25" s="4">
        <f>'Raw TV Data'!O22</f>
        <v/>
      </c>
      <c r="Z25" s="26" t="n"/>
    </row>
    <row r="26" ht="14" customHeight="1">
      <c r="A26" s="25" t="inlineStr">
        <is>
          <t>Total Sell</t>
        </is>
      </c>
      <c r="B26" s="6">
        <f>'Raw TV Data'!P3</f>
        <v/>
      </c>
      <c r="C26" s="6">
        <f>'Raw TV Data'!P4</f>
        <v/>
      </c>
      <c r="D26" s="6">
        <f>'Raw TV Data'!P5</f>
        <v/>
      </c>
      <c r="E26" s="6">
        <f>'Raw TV Data'!P6</f>
        <v/>
      </c>
      <c r="F26" s="27" t="n"/>
      <c r="G26" s="6">
        <f>'Raw TV Data'!P7</f>
        <v/>
      </c>
      <c r="H26" s="6">
        <f>'Raw TV Data'!P8</f>
        <v/>
      </c>
      <c r="I26" s="6">
        <f>'Raw TV Data'!P9</f>
        <v/>
      </c>
      <c r="J26" s="6">
        <f>'Raw TV Data'!P10</f>
        <v/>
      </c>
      <c r="K26" s="27" t="n"/>
      <c r="L26" s="6">
        <f>'Raw TV Data'!P11</f>
        <v/>
      </c>
      <c r="M26" s="6">
        <f>'Raw TV Data'!P12</f>
        <v/>
      </c>
      <c r="N26" s="6">
        <f>'Raw TV Data'!P13</f>
        <v/>
      </c>
      <c r="O26" s="6">
        <f>'Raw TV Data'!P14</f>
        <v/>
      </c>
      <c r="P26" s="27" t="n"/>
      <c r="Q26" s="6">
        <f>'Raw TV Data'!P15</f>
        <v/>
      </c>
      <c r="R26" s="6">
        <f>'Raw TV Data'!P16</f>
        <v/>
      </c>
      <c r="S26" s="6">
        <f>'Raw TV Data'!P17</f>
        <v/>
      </c>
      <c r="T26" s="6">
        <f>'Raw TV Data'!P18</f>
        <v/>
      </c>
      <c r="U26" s="27" t="n"/>
      <c r="V26" s="6">
        <f>'Raw TV Data'!P19</f>
        <v/>
      </c>
      <c r="W26" s="6">
        <f>'Raw TV Data'!P20</f>
        <v/>
      </c>
      <c r="X26" s="6">
        <f>'Raw TV Data'!P21</f>
        <v/>
      </c>
      <c r="Y26" s="6">
        <f>'Raw TV Data'!P22</f>
        <v/>
      </c>
      <c r="Z26" s="27" t="n"/>
    </row>
    <row r="27" ht="14" customHeight="1">
      <c r="A27" s="25" t="inlineStr">
        <is>
          <t>Net Volume</t>
        </is>
      </c>
      <c r="B27" s="28">
        <f>'Raw TV Data'!O3-'Raw TV Data'!P3</f>
        <v/>
      </c>
      <c r="C27" s="28">
        <f>'Raw TV Data'!O4-'Raw TV Data'!P4</f>
        <v/>
      </c>
      <c r="D27" s="28">
        <f>'Raw TV Data'!O5-'Raw TV Data'!P5</f>
        <v/>
      </c>
      <c r="E27" s="28">
        <f>'Raw TV Data'!O6-'Raw TV Data'!P6</f>
        <v/>
      </c>
      <c r="F27" s="26" t="n"/>
      <c r="G27" s="28">
        <f>'Raw TV Data'!O7-'Raw TV Data'!P7</f>
        <v/>
      </c>
      <c r="H27" s="28">
        <f>'Raw TV Data'!O8-'Raw TV Data'!P8</f>
        <v/>
      </c>
      <c r="I27" s="28">
        <f>'Raw TV Data'!O9-'Raw TV Data'!P9</f>
        <v/>
      </c>
      <c r="J27" s="28">
        <f>'Raw TV Data'!O10-'Raw TV Data'!P10</f>
        <v/>
      </c>
      <c r="K27" s="26" t="n"/>
      <c r="L27" s="28">
        <f>'Raw TV Data'!O11-'Raw TV Data'!P11</f>
        <v/>
      </c>
      <c r="M27" s="28">
        <f>'Raw TV Data'!O12-'Raw TV Data'!P12</f>
        <v/>
      </c>
      <c r="N27" s="28">
        <f>'Raw TV Data'!O13-'Raw TV Data'!P13</f>
        <v/>
      </c>
      <c r="O27" s="28">
        <f>'Raw TV Data'!O14-'Raw TV Data'!P14</f>
        <v/>
      </c>
      <c r="P27" s="26" t="n"/>
      <c r="Q27" s="28">
        <f>'Raw TV Data'!O15-'Raw TV Data'!P15</f>
        <v/>
      </c>
      <c r="R27" s="28">
        <f>'Raw TV Data'!O16-'Raw TV Data'!P16</f>
        <v/>
      </c>
      <c r="S27" s="28">
        <f>'Raw TV Data'!O17-'Raw TV Data'!P17</f>
        <v/>
      </c>
      <c r="T27" s="28">
        <f>'Raw TV Data'!O18-'Raw TV Data'!P18</f>
        <v/>
      </c>
      <c r="U27" s="26" t="n"/>
      <c r="V27" s="28">
        <f>'Raw TV Data'!O19-'Raw TV Data'!P19</f>
        <v/>
      </c>
      <c r="W27" s="28">
        <f>'Raw TV Data'!O20-'Raw TV Data'!P20</f>
        <v/>
      </c>
      <c r="X27" s="28">
        <f>'Raw TV Data'!O21-'Raw TV Data'!P21</f>
        <v/>
      </c>
      <c r="Y27" s="28">
        <f>'Raw TV Data'!O22-'Raw TV Data'!P22</f>
        <v/>
      </c>
      <c r="Z27" s="26" t="n"/>
    </row>
    <row r="28" ht="14" customHeight="1">
      <c r="A28" s="25" t="inlineStr">
        <is>
          <t>% of Market Buy</t>
        </is>
      </c>
      <c r="B28" s="31">
        <f>IFERROR('Raw TV Data'!O3/SUM('Raw TV Data'!O3,'Raw TV Data'!O4,'Raw TV Data'!O5,'Raw TV Data'!O6),0)</f>
        <v/>
      </c>
      <c r="C28" s="31">
        <f>IFERROR('Raw TV Data'!O4/SUM('Raw TV Data'!O3,'Raw TV Data'!O4,'Raw TV Data'!O5,'Raw TV Data'!O6),0)</f>
        <v/>
      </c>
      <c r="D28" s="31">
        <f>IFERROR('Raw TV Data'!O5/SUM('Raw TV Data'!O3,'Raw TV Data'!O4,'Raw TV Data'!O5,'Raw TV Data'!O6),0)</f>
        <v/>
      </c>
      <c r="E28" s="31">
        <f>IFERROR('Raw TV Data'!O6/SUM('Raw TV Data'!O3,'Raw TV Data'!O4,'Raw TV Data'!O5,'Raw TV Data'!O6),0)</f>
        <v/>
      </c>
      <c r="F28" s="27" t="n"/>
      <c r="G28" s="31">
        <f>IFERROR('Raw TV Data'!O7/SUM('Raw TV Data'!O7,'Raw TV Data'!O8,'Raw TV Data'!O9,'Raw TV Data'!O10),0)</f>
        <v/>
      </c>
      <c r="H28" s="31">
        <f>IFERROR('Raw TV Data'!O8/SUM('Raw TV Data'!O7,'Raw TV Data'!O8,'Raw TV Data'!O9,'Raw TV Data'!O10),0)</f>
        <v/>
      </c>
      <c r="I28" s="31">
        <f>IFERROR('Raw TV Data'!O9/SUM('Raw TV Data'!O7,'Raw TV Data'!O8,'Raw TV Data'!O9,'Raw TV Data'!O10),0)</f>
        <v/>
      </c>
      <c r="J28" s="31">
        <f>IFERROR('Raw TV Data'!O10/SUM('Raw TV Data'!O7,'Raw TV Data'!O8,'Raw TV Data'!O9,'Raw TV Data'!O10),0)</f>
        <v/>
      </c>
      <c r="K28" s="27" t="n"/>
      <c r="L28" s="31">
        <f>IFERROR('Raw TV Data'!O11/SUM('Raw TV Data'!O11,'Raw TV Data'!O12,'Raw TV Data'!O13,'Raw TV Data'!O14),0)</f>
        <v/>
      </c>
      <c r="M28" s="31">
        <f>IFERROR('Raw TV Data'!O12/SUM('Raw TV Data'!O11,'Raw TV Data'!O12,'Raw TV Data'!O13,'Raw TV Data'!O14),0)</f>
        <v/>
      </c>
      <c r="N28" s="31">
        <f>IFERROR('Raw TV Data'!O13/SUM('Raw TV Data'!O11,'Raw TV Data'!O12,'Raw TV Data'!O13,'Raw TV Data'!O14),0)</f>
        <v/>
      </c>
      <c r="O28" s="31">
        <f>IFERROR('Raw TV Data'!O14/SUM('Raw TV Data'!O11,'Raw TV Data'!O12,'Raw TV Data'!O13,'Raw TV Data'!O14),0)</f>
        <v/>
      </c>
      <c r="P28" s="27" t="n"/>
      <c r="Q28" s="31">
        <f>IFERROR('Raw TV Data'!O15/SUM('Raw TV Data'!O15,'Raw TV Data'!O16,'Raw TV Data'!O17,'Raw TV Data'!O18),0)</f>
        <v/>
      </c>
      <c r="R28" s="31">
        <f>IFERROR('Raw TV Data'!O16/SUM('Raw TV Data'!O15,'Raw TV Data'!O16,'Raw TV Data'!O17,'Raw TV Data'!O18),0)</f>
        <v/>
      </c>
      <c r="S28" s="31">
        <f>IFERROR('Raw TV Data'!O17/SUM('Raw TV Data'!O15,'Raw TV Data'!O16,'Raw TV Data'!O17,'Raw TV Data'!O18),0)</f>
        <v/>
      </c>
      <c r="T28" s="31">
        <f>IFERROR('Raw TV Data'!O18/SUM('Raw TV Data'!O15,'Raw TV Data'!O16,'Raw TV Data'!O17,'Raw TV Data'!O18),0)</f>
        <v/>
      </c>
      <c r="U28" s="27" t="n"/>
      <c r="V28" s="31">
        <f>IFERROR('Raw TV Data'!O19/SUM('Raw TV Data'!O19,'Raw TV Data'!O20,'Raw TV Data'!O21,'Raw TV Data'!O22),0)</f>
        <v/>
      </c>
      <c r="W28" s="31">
        <f>IFERROR('Raw TV Data'!O20/SUM('Raw TV Data'!O19,'Raw TV Data'!O20,'Raw TV Data'!O21,'Raw TV Data'!O22),0)</f>
        <v/>
      </c>
      <c r="X28" s="31">
        <f>IFERROR('Raw TV Data'!O21/SUM('Raw TV Data'!O19,'Raw TV Data'!O20,'Raw TV Data'!O21,'Raw TV Data'!O22),0)</f>
        <v/>
      </c>
      <c r="Y28" s="31">
        <f>IFERROR('Raw TV Data'!O22/SUM('Raw TV Data'!O19,'Raw TV Data'!O20,'Raw TV Data'!O21,'Raw TV Data'!O22),0)</f>
        <v/>
      </c>
      <c r="Z28" s="27" t="n"/>
    </row>
  </sheetData>
  <mergeCells count="11">
    <mergeCell ref="A1:Z1"/>
    <mergeCell ref="A18:Z18"/>
    <mergeCell ref="A8:Z8"/>
    <mergeCell ref="V2:Y2"/>
    <mergeCell ref="L2:O2"/>
    <mergeCell ref="A4:Z4"/>
    <mergeCell ref="G2:J2"/>
    <mergeCell ref="A12:Z12"/>
    <mergeCell ref="B2:E2"/>
    <mergeCell ref="Q2:T2"/>
    <mergeCell ref="A24:Z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2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" customWidth="1" min="21" max="21"/>
    <col width="14" customWidth="1" min="22" max="22"/>
    <col width="14" customWidth="1" min="23" max="23"/>
    <col width="14" customWidth="1" min="24" max="24"/>
    <col width="14" customWidth="1" min="25" max="25"/>
    <col width="2" customWidth="1" min="26" max="26"/>
  </cols>
  <sheetData>
    <row r="1" ht="22" customHeight="1">
      <c r="A1" s="1" t="inlineStr">
        <is>
          <t>NSE FAO — Net OI &amp; Market Bias by Participant</t>
        </is>
      </c>
    </row>
    <row r="2" ht="16" customHeight="1">
      <c r="A2" s="19" t="inlineStr">
        <is>
          <t>Metric</t>
        </is>
      </c>
      <c r="B2" s="19" t="inlineStr">
        <is>
          <t>Jun 29 2026</t>
        </is>
      </c>
      <c r="C2" s="20" t="n"/>
      <c r="D2" s="20" t="n"/>
      <c r="E2" s="20" t="n"/>
      <c r="F2" s="20" t="n"/>
      <c r="G2" s="19" t="inlineStr">
        <is>
          <t>Jun 30 2026</t>
        </is>
      </c>
      <c r="H2" s="20" t="n"/>
      <c r="I2" s="20" t="n"/>
      <c r="J2" s="20" t="n"/>
      <c r="K2" s="20" t="n"/>
      <c r="L2" s="19" t="inlineStr">
        <is>
          <t>Jul 01 2026</t>
        </is>
      </c>
      <c r="M2" s="20" t="n"/>
      <c r="N2" s="20" t="n"/>
      <c r="O2" s="20" t="n"/>
      <c r="P2" s="20" t="n"/>
      <c r="Q2" s="19" t="inlineStr">
        <is>
          <t>Jul 02 2026</t>
        </is>
      </c>
      <c r="R2" s="20" t="n"/>
      <c r="S2" s="20" t="n"/>
      <c r="T2" s="20" t="n"/>
      <c r="U2" s="20" t="n"/>
      <c r="V2" s="19" t="inlineStr">
        <is>
          <t>Jul 03 2026</t>
        </is>
      </c>
      <c r="W2" s="20" t="n"/>
      <c r="X2" s="20" t="n"/>
      <c r="Y2" s="20" t="n"/>
      <c r="Z2" s="20" t="n"/>
    </row>
    <row r="3" ht="16" customHeight="1">
      <c r="A3" s="22" t="inlineStr"/>
      <c r="B3" s="23" t="inlineStr">
        <is>
          <t>Client</t>
        </is>
      </c>
      <c r="C3" s="23" t="inlineStr">
        <is>
          <t>DII</t>
        </is>
      </c>
      <c r="D3" s="23" t="inlineStr">
        <is>
          <t>FII</t>
        </is>
      </c>
      <c r="E3" s="23" t="inlineStr">
        <is>
          <t>Pro</t>
        </is>
      </c>
      <c r="F3" s="24" t="n"/>
      <c r="G3" s="23" t="inlineStr">
        <is>
          <t>Client</t>
        </is>
      </c>
      <c r="H3" s="23" t="inlineStr">
        <is>
          <t>DII</t>
        </is>
      </c>
      <c r="I3" s="23" t="inlineStr">
        <is>
          <t>FII</t>
        </is>
      </c>
      <c r="J3" s="23" t="inlineStr">
        <is>
          <t>Pro</t>
        </is>
      </c>
      <c r="K3" s="24" t="n"/>
      <c r="L3" s="23" t="inlineStr">
        <is>
          <t>Client</t>
        </is>
      </c>
      <c r="M3" s="23" t="inlineStr">
        <is>
          <t>DII</t>
        </is>
      </c>
      <c r="N3" s="23" t="inlineStr">
        <is>
          <t>FII</t>
        </is>
      </c>
      <c r="O3" s="23" t="inlineStr">
        <is>
          <t>Pro</t>
        </is>
      </c>
      <c r="P3" s="24" t="n"/>
      <c r="Q3" s="23" t="inlineStr">
        <is>
          <t>Client</t>
        </is>
      </c>
      <c r="R3" s="23" t="inlineStr">
        <is>
          <t>DII</t>
        </is>
      </c>
      <c r="S3" s="23" t="inlineStr">
        <is>
          <t>FII</t>
        </is>
      </c>
      <c r="T3" s="23" t="inlineStr">
        <is>
          <t>Pro</t>
        </is>
      </c>
      <c r="U3" s="24" t="n"/>
      <c r="V3" s="23" t="inlineStr">
        <is>
          <t>Client</t>
        </is>
      </c>
      <c r="W3" s="23" t="inlineStr">
        <is>
          <t>DII</t>
        </is>
      </c>
      <c r="X3" s="23" t="inlineStr">
        <is>
          <t>FII</t>
        </is>
      </c>
      <c r="Y3" s="23" t="inlineStr">
        <is>
          <t>Pro</t>
        </is>
      </c>
      <c r="Z3" s="24" t="n"/>
    </row>
    <row r="4" ht="16" customHeight="1">
      <c r="A4" s="14" t="inlineStr">
        <is>
          <t>NET OPEN INTEREST  (Long − Short)</t>
        </is>
      </c>
    </row>
    <row r="5" ht="14" customHeight="1">
      <c r="A5" s="25" t="inlineStr">
        <is>
          <t>Net Fut Index OI</t>
        </is>
      </c>
      <c r="B5" s="28">
        <f>'Raw OI Data'!C3-'Raw OI Data'!D3</f>
        <v/>
      </c>
      <c r="C5" s="28">
        <f>'Raw OI Data'!C4-'Raw OI Data'!D4</f>
        <v/>
      </c>
      <c r="D5" s="28">
        <f>'Raw OI Data'!C5-'Raw OI Data'!D5</f>
        <v/>
      </c>
      <c r="E5" s="28">
        <f>'Raw OI Data'!C6-'Raw OI Data'!D6</f>
        <v/>
      </c>
      <c r="F5" s="26" t="n"/>
      <c r="G5" s="28">
        <f>'Raw OI Data'!C7-'Raw OI Data'!D7</f>
        <v/>
      </c>
      <c r="H5" s="28">
        <f>'Raw OI Data'!C8-'Raw OI Data'!D8</f>
        <v/>
      </c>
      <c r="I5" s="28">
        <f>'Raw OI Data'!C9-'Raw OI Data'!D9</f>
        <v/>
      </c>
      <c r="J5" s="28">
        <f>'Raw OI Data'!C10-'Raw OI Data'!D10</f>
        <v/>
      </c>
      <c r="K5" s="26" t="n"/>
      <c r="L5" s="28">
        <f>'Raw OI Data'!C11-'Raw OI Data'!D11</f>
        <v/>
      </c>
      <c r="M5" s="28">
        <f>'Raw OI Data'!C12-'Raw OI Data'!D12</f>
        <v/>
      </c>
      <c r="N5" s="28">
        <f>'Raw OI Data'!C13-'Raw OI Data'!D13</f>
        <v/>
      </c>
      <c r="O5" s="28">
        <f>'Raw OI Data'!C14-'Raw OI Data'!D14</f>
        <v/>
      </c>
      <c r="P5" s="26" t="n"/>
      <c r="Q5" s="28">
        <f>'Raw OI Data'!C15-'Raw OI Data'!D15</f>
        <v/>
      </c>
      <c r="R5" s="28">
        <f>'Raw OI Data'!C16-'Raw OI Data'!D16</f>
        <v/>
      </c>
      <c r="S5" s="28">
        <f>'Raw OI Data'!C17-'Raw OI Data'!D17</f>
        <v/>
      </c>
      <c r="T5" s="28">
        <f>'Raw OI Data'!C18-'Raw OI Data'!D18</f>
        <v/>
      </c>
      <c r="U5" s="26" t="n"/>
      <c r="V5" s="28">
        <f>'Raw OI Data'!C19-'Raw OI Data'!D19</f>
        <v/>
      </c>
      <c r="W5" s="28">
        <f>'Raw OI Data'!C20-'Raw OI Data'!D20</f>
        <v/>
      </c>
      <c r="X5" s="28">
        <f>'Raw OI Data'!C21-'Raw OI Data'!D21</f>
        <v/>
      </c>
      <c r="Y5" s="28">
        <f>'Raw OI Data'!C22-'Raw OI Data'!D22</f>
        <v/>
      </c>
      <c r="Z5" s="26" t="n"/>
    </row>
    <row r="6" ht="14" customHeight="1">
      <c r="A6" s="25" t="inlineStr">
        <is>
          <t>Net Fut Stock OI</t>
        </is>
      </c>
      <c r="B6" s="32">
        <f>'Raw OI Data'!E3-'Raw OI Data'!F3</f>
        <v/>
      </c>
      <c r="C6" s="32">
        <f>'Raw OI Data'!E4-'Raw OI Data'!F4</f>
        <v/>
      </c>
      <c r="D6" s="32">
        <f>'Raw OI Data'!E5-'Raw OI Data'!F5</f>
        <v/>
      </c>
      <c r="E6" s="32">
        <f>'Raw OI Data'!E6-'Raw OI Data'!F6</f>
        <v/>
      </c>
      <c r="F6" s="27" t="n"/>
      <c r="G6" s="32">
        <f>'Raw OI Data'!E7-'Raw OI Data'!F7</f>
        <v/>
      </c>
      <c r="H6" s="32">
        <f>'Raw OI Data'!E8-'Raw OI Data'!F8</f>
        <v/>
      </c>
      <c r="I6" s="32">
        <f>'Raw OI Data'!E9-'Raw OI Data'!F9</f>
        <v/>
      </c>
      <c r="J6" s="32">
        <f>'Raw OI Data'!E10-'Raw OI Data'!F10</f>
        <v/>
      </c>
      <c r="K6" s="27" t="n"/>
      <c r="L6" s="32">
        <f>'Raw OI Data'!E11-'Raw OI Data'!F11</f>
        <v/>
      </c>
      <c r="M6" s="32">
        <f>'Raw OI Data'!E12-'Raw OI Data'!F12</f>
        <v/>
      </c>
      <c r="N6" s="32">
        <f>'Raw OI Data'!E13-'Raw OI Data'!F13</f>
        <v/>
      </c>
      <c r="O6" s="32">
        <f>'Raw OI Data'!E14-'Raw OI Data'!F14</f>
        <v/>
      </c>
      <c r="P6" s="27" t="n"/>
      <c r="Q6" s="32">
        <f>'Raw OI Data'!E15-'Raw OI Data'!F15</f>
        <v/>
      </c>
      <c r="R6" s="32">
        <f>'Raw OI Data'!E16-'Raw OI Data'!F16</f>
        <v/>
      </c>
      <c r="S6" s="32">
        <f>'Raw OI Data'!E17-'Raw OI Data'!F17</f>
        <v/>
      </c>
      <c r="T6" s="32">
        <f>'Raw OI Data'!E18-'Raw OI Data'!F18</f>
        <v/>
      </c>
      <c r="U6" s="27" t="n"/>
      <c r="V6" s="32">
        <f>'Raw OI Data'!E19-'Raw OI Data'!F19</f>
        <v/>
      </c>
      <c r="W6" s="32">
        <f>'Raw OI Data'!E20-'Raw OI Data'!F20</f>
        <v/>
      </c>
      <c r="X6" s="32">
        <f>'Raw OI Data'!E21-'Raw OI Data'!F21</f>
        <v/>
      </c>
      <c r="Y6" s="32">
        <f>'Raw OI Data'!E22-'Raw OI Data'!F22</f>
        <v/>
      </c>
      <c r="Z6" s="27" t="n"/>
    </row>
    <row r="7" ht="14" customHeight="1">
      <c r="A7" s="25" t="inlineStr">
        <is>
          <t>Net Futures OI</t>
        </is>
      </c>
      <c r="B7" s="28">
        <f>('Raw OI Data'!C3+'Raw OI Data'!E3)-('Raw OI Data'!D3+'Raw OI Data'!F3)</f>
        <v/>
      </c>
      <c r="C7" s="28">
        <f>('Raw OI Data'!C4+'Raw OI Data'!E4)-('Raw OI Data'!D4+'Raw OI Data'!F4)</f>
        <v/>
      </c>
      <c r="D7" s="28">
        <f>('Raw OI Data'!C5+'Raw OI Data'!E5)-('Raw OI Data'!D5+'Raw OI Data'!F5)</f>
        <v/>
      </c>
      <c r="E7" s="28">
        <f>('Raw OI Data'!C6+'Raw OI Data'!E6)-('Raw OI Data'!D6+'Raw OI Data'!F6)</f>
        <v/>
      </c>
      <c r="F7" s="26" t="n"/>
      <c r="G7" s="28">
        <f>('Raw OI Data'!C7+'Raw OI Data'!E7)-('Raw OI Data'!D7+'Raw OI Data'!F7)</f>
        <v/>
      </c>
      <c r="H7" s="28">
        <f>('Raw OI Data'!C8+'Raw OI Data'!E8)-('Raw OI Data'!D8+'Raw OI Data'!F8)</f>
        <v/>
      </c>
      <c r="I7" s="28">
        <f>('Raw OI Data'!C9+'Raw OI Data'!E9)-('Raw OI Data'!D9+'Raw OI Data'!F9)</f>
        <v/>
      </c>
      <c r="J7" s="28">
        <f>('Raw OI Data'!C10+'Raw OI Data'!E10)-('Raw OI Data'!D10+'Raw OI Data'!F10)</f>
        <v/>
      </c>
      <c r="K7" s="26" t="n"/>
      <c r="L7" s="28">
        <f>('Raw OI Data'!C11+'Raw OI Data'!E11)-('Raw OI Data'!D11+'Raw OI Data'!F11)</f>
        <v/>
      </c>
      <c r="M7" s="28">
        <f>('Raw OI Data'!C12+'Raw OI Data'!E12)-('Raw OI Data'!D12+'Raw OI Data'!F12)</f>
        <v/>
      </c>
      <c r="N7" s="28">
        <f>('Raw OI Data'!C13+'Raw OI Data'!E13)-('Raw OI Data'!D13+'Raw OI Data'!F13)</f>
        <v/>
      </c>
      <c r="O7" s="28">
        <f>('Raw OI Data'!C14+'Raw OI Data'!E14)-('Raw OI Data'!D14+'Raw OI Data'!F14)</f>
        <v/>
      </c>
      <c r="P7" s="26" t="n"/>
      <c r="Q7" s="28">
        <f>('Raw OI Data'!C15+'Raw OI Data'!E15)-('Raw OI Data'!D15+'Raw OI Data'!F15)</f>
        <v/>
      </c>
      <c r="R7" s="28">
        <f>('Raw OI Data'!C16+'Raw OI Data'!E16)-('Raw OI Data'!D16+'Raw OI Data'!F16)</f>
        <v/>
      </c>
      <c r="S7" s="28">
        <f>('Raw OI Data'!C17+'Raw OI Data'!E17)-('Raw OI Data'!D17+'Raw OI Data'!F17)</f>
        <v/>
      </c>
      <c r="T7" s="28">
        <f>('Raw OI Data'!C18+'Raw OI Data'!E18)-('Raw OI Data'!D18+'Raw OI Data'!F18)</f>
        <v/>
      </c>
      <c r="U7" s="26" t="n"/>
      <c r="V7" s="28">
        <f>('Raw OI Data'!C19+'Raw OI Data'!E19)-('Raw OI Data'!D19+'Raw OI Data'!F19)</f>
        <v/>
      </c>
      <c r="W7" s="28">
        <f>('Raw OI Data'!C20+'Raw OI Data'!E20)-('Raw OI Data'!D20+'Raw OI Data'!F20)</f>
        <v/>
      </c>
      <c r="X7" s="28">
        <f>('Raw OI Data'!C21+'Raw OI Data'!E21)-('Raw OI Data'!D21+'Raw OI Data'!F21)</f>
        <v/>
      </c>
      <c r="Y7" s="28">
        <f>('Raw OI Data'!C22+'Raw OI Data'!E22)-('Raw OI Data'!D22+'Raw OI Data'!F22)</f>
        <v/>
      </c>
      <c r="Z7" s="26" t="n"/>
    </row>
    <row r="8" ht="14" customHeight="1">
      <c r="A8" s="25" t="inlineStr">
        <is>
          <t>Net Idx Call OI</t>
        </is>
      </c>
      <c r="B8" s="32">
        <f>'Raw OI Data'!G3-'Raw OI Data'!I3</f>
        <v/>
      </c>
      <c r="C8" s="32">
        <f>'Raw OI Data'!G4-'Raw OI Data'!I4</f>
        <v/>
      </c>
      <c r="D8" s="32">
        <f>'Raw OI Data'!G5-'Raw OI Data'!I5</f>
        <v/>
      </c>
      <c r="E8" s="32">
        <f>'Raw OI Data'!G6-'Raw OI Data'!I6</f>
        <v/>
      </c>
      <c r="F8" s="27" t="n"/>
      <c r="G8" s="32">
        <f>'Raw OI Data'!G7-'Raw OI Data'!I7</f>
        <v/>
      </c>
      <c r="H8" s="32">
        <f>'Raw OI Data'!G8-'Raw OI Data'!I8</f>
        <v/>
      </c>
      <c r="I8" s="32">
        <f>'Raw OI Data'!G9-'Raw OI Data'!I9</f>
        <v/>
      </c>
      <c r="J8" s="32">
        <f>'Raw OI Data'!G10-'Raw OI Data'!I10</f>
        <v/>
      </c>
      <c r="K8" s="27" t="n"/>
      <c r="L8" s="32">
        <f>'Raw OI Data'!G11-'Raw OI Data'!I11</f>
        <v/>
      </c>
      <c r="M8" s="32">
        <f>'Raw OI Data'!G12-'Raw OI Data'!I12</f>
        <v/>
      </c>
      <c r="N8" s="32">
        <f>'Raw OI Data'!G13-'Raw OI Data'!I13</f>
        <v/>
      </c>
      <c r="O8" s="32">
        <f>'Raw OI Data'!G14-'Raw OI Data'!I14</f>
        <v/>
      </c>
      <c r="P8" s="27" t="n"/>
      <c r="Q8" s="32">
        <f>'Raw OI Data'!G15-'Raw OI Data'!I15</f>
        <v/>
      </c>
      <c r="R8" s="32">
        <f>'Raw OI Data'!G16-'Raw OI Data'!I16</f>
        <v/>
      </c>
      <c r="S8" s="32">
        <f>'Raw OI Data'!G17-'Raw OI Data'!I17</f>
        <v/>
      </c>
      <c r="T8" s="32">
        <f>'Raw OI Data'!G18-'Raw OI Data'!I18</f>
        <v/>
      </c>
      <c r="U8" s="27" t="n"/>
      <c r="V8" s="32">
        <f>'Raw OI Data'!G19-'Raw OI Data'!I19</f>
        <v/>
      </c>
      <c r="W8" s="32">
        <f>'Raw OI Data'!G20-'Raw OI Data'!I20</f>
        <v/>
      </c>
      <c r="X8" s="32">
        <f>'Raw OI Data'!G21-'Raw OI Data'!I21</f>
        <v/>
      </c>
      <c r="Y8" s="32">
        <f>'Raw OI Data'!G22-'Raw OI Data'!I22</f>
        <v/>
      </c>
      <c r="Z8" s="27" t="n"/>
    </row>
    <row r="9" ht="14" customHeight="1">
      <c r="A9" s="25" t="inlineStr">
        <is>
          <t>Net Idx Put OI</t>
        </is>
      </c>
      <c r="B9" s="28">
        <f>'Raw OI Data'!H3-'Raw OI Data'!J3</f>
        <v/>
      </c>
      <c r="C9" s="28">
        <f>'Raw OI Data'!H4-'Raw OI Data'!J4</f>
        <v/>
      </c>
      <c r="D9" s="28">
        <f>'Raw OI Data'!H5-'Raw OI Data'!J5</f>
        <v/>
      </c>
      <c r="E9" s="28">
        <f>'Raw OI Data'!H6-'Raw OI Data'!J6</f>
        <v/>
      </c>
      <c r="F9" s="26" t="n"/>
      <c r="G9" s="28">
        <f>'Raw OI Data'!H7-'Raw OI Data'!J7</f>
        <v/>
      </c>
      <c r="H9" s="28">
        <f>'Raw OI Data'!H8-'Raw OI Data'!J8</f>
        <v/>
      </c>
      <c r="I9" s="28">
        <f>'Raw OI Data'!H9-'Raw OI Data'!J9</f>
        <v/>
      </c>
      <c r="J9" s="28">
        <f>'Raw OI Data'!H10-'Raw OI Data'!J10</f>
        <v/>
      </c>
      <c r="K9" s="26" t="n"/>
      <c r="L9" s="28">
        <f>'Raw OI Data'!H11-'Raw OI Data'!J11</f>
        <v/>
      </c>
      <c r="M9" s="28">
        <f>'Raw OI Data'!H12-'Raw OI Data'!J12</f>
        <v/>
      </c>
      <c r="N9" s="28">
        <f>'Raw OI Data'!H13-'Raw OI Data'!J13</f>
        <v/>
      </c>
      <c r="O9" s="28">
        <f>'Raw OI Data'!H14-'Raw OI Data'!J14</f>
        <v/>
      </c>
      <c r="P9" s="26" t="n"/>
      <c r="Q9" s="28">
        <f>'Raw OI Data'!H15-'Raw OI Data'!J15</f>
        <v/>
      </c>
      <c r="R9" s="28">
        <f>'Raw OI Data'!H16-'Raw OI Data'!J16</f>
        <v/>
      </c>
      <c r="S9" s="28">
        <f>'Raw OI Data'!H17-'Raw OI Data'!J17</f>
        <v/>
      </c>
      <c r="T9" s="28">
        <f>'Raw OI Data'!H18-'Raw OI Data'!J18</f>
        <v/>
      </c>
      <c r="U9" s="26" t="n"/>
      <c r="V9" s="28">
        <f>'Raw OI Data'!H19-'Raw OI Data'!J19</f>
        <v/>
      </c>
      <c r="W9" s="28">
        <f>'Raw OI Data'!H20-'Raw OI Data'!J20</f>
        <v/>
      </c>
      <c r="X9" s="28">
        <f>'Raw OI Data'!H21-'Raw OI Data'!J21</f>
        <v/>
      </c>
      <c r="Y9" s="28">
        <f>'Raw OI Data'!H22-'Raw OI Data'!J22</f>
        <v/>
      </c>
      <c r="Z9" s="26" t="n"/>
    </row>
    <row r="10" ht="14" customHeight="1">
      <c r="A10" s="25" t="inlineStr">
        <is>
          <t>Net Stk Call OI</t>
        </is>
      </c>
      <c r="B10" s="32">
        <f>'Raw OI Data'!K3-'Raw OI Data'!M3</f>
        <v/>
      </c>
      <c r="C10" s="32">
        <f>'Raw OI Data'!K4-'Raw OI Data'!M4</f>
        <v/>
      </c>
      <c r="D10" s="32">
        <f>'Raw OI Data'!K5-'Raw OI Data'!M5</f>
        <v/>
      </c>
      <c r="E10" s="32">
        <f>'Raw OI Data'!K6-'Raw OI Data'!M6</f>
        <v/>
      </c>
      <c r="F10" s="27" t="n"/>
      <c r="G10" s="32">
        <f>'Raw OI Data'!K7-'Raw OI Data'!M7</f>
        <v/>
      </c>
      <c r="H10" s="32">
        <f>'Raw OI Data'!K8-'Raw OI Data'!M8</f>
        <v/>
      </c>
      <c r="I10" s="32">
        <f>'Raw OI Data'!K9-'Raw OI Data'!M9</f>
        <v/>
      </c>
      <c r="J10" s="32">
        <f>'Raw OI Data'!K10-'Raw OI Data'!M10</f>
        <v/>
      </c>
      <c r="K10" s="27" t="n"/>
      <c r="L10" s="32">
        <f>'Raw OI Data'!K11-'Raw OI Data'!M11</f>
        <v/>
      </c>
      <c r="M10" s="32">
        <f>'Raw OI Data'!K12-'Raw OI Data'!M12</f>
        <v/>
      </c>
      <c r="N10" s="32">
        <f>'Raw OI Data'!K13-'Raw OI Data'!M13</f>
        <v/>
      </c>
      <c r="O10" s="32">
        <f>'Raw OI Data'!K14-'Raw OI Data'!M14</f>
        <v/>
      </c>
      <c r="P10" s="27" t="n"/>
      <c r="Q10" s="32">
        <f>'Raw OI Data'!K15-'Raw OI Data'!M15</f>
        <v/>
      </c>
      <c r="R10" s="32">
        <f>'Raw OI Data'!K16-'Raw OI Data'!M16</f>
        <v/>
      </c>
      <c r="S10" s="32">
        <f>'Raw OI Data'!K17-'Raw OI Data'!M17</f>
        <v/>
      </c>
      <c r="T10" s="32">
        <f>'Raw OI Data'!K18-'Raw OI Data'!M18</f>
        <v/>
      </c>
      <c r="U10" s="27" t="n"/>
      <c r="V10" s="32">
        <f>'Raw OI Data'!K19-'Raw OI Data'!M19</f>
        <v/>
      </c>
      <c r="W10" s="32">
        <f>'Raw OI Data'!K20-'Raw OI Data'!M20</f>
        <v/>
      </c>
      <c r="X10" s="32">
        <f>'Raw OI Data'!K21-'Raw OI Data'!M21</f>
        <v/>
      </c>
      <c r="Y10" s="32">
        <f>'Raw OI Data'!K22-'Raw OI Data'!M22</f>
        <v/>
      </c>
      <c r="Z10" s="27" t="n"/>
    </row>
    <row r="11" ht="14" customHeight="1">
      <c r="A11" s="25" t="inlineStr">
        <is>
          <t>Net Stk Put OI</t>
        </is>
      </c>
      <c r="B11" s="28">
        <f>'Raw OI Data'!L3-'Raw OI Data'!N3</f>
        <v/>
      </c>
      <c r="C11" s="28">
        <f>'Raw OI Data'!L4-'Raw OI Data'!N4</f>
        <v/>
      </c>
      <c r="D11" s="28">
        <f>'Raw OI Data'!L5-'Raw OI Data'!N5</f>
        <v/>
      </c>
      <c r="E11" s="28">
        <f>'Raw OI Data'!L6-'Raw OI Data'!N6</f>
        <v/>
      </c>
      <c r="F11" s="26" t="n"/>
      <c r="G11" s="28">
        <f>'Raw OI Data'!L7-'Raw OI Data'!N7</f>
        <v/>
      </c>
      <c r="H11" s="28">
        <f>'Raw OI Data'!L8-'Raw OI Data'!N8</f>
        <v/>
      </c>
      <c r="I11" s="28">
        <f>'Raw OI Data'!L9-'Raw OI Data'!N9</f>
        <v/>
      </c>
      <c r="J11" s="28">
        <f>'Raw OI Data'!L10-'Raw OI Data'!N10</f>
        <v/>
      </c>
      <c r="K11" s="26" t="n"/>
      <c r="L11" s="28">
        <f>'Raw OI Data'!L11-'Raw OI Data'!N11</f>
        <v/>
      </c>
      <c r="M11" s="28">
        <f>'Raw OI Data'!L12-'Raw OI Data'!N12</f>
        <v/>
      </c>
      <c r="N11" s="28">
        <f>'Raw OI Data'!L13-'Raw OI Data'!N13</f>
        <v/>
      </c>
      <c r="O11" s="28">
        <f>'Raw OI Data'!L14-'Raw OI Data'!N14</f>
        <v/>
      </c>
      <c r="P11" s="26" t="n"/>
      <c r="Q11" s="28">
        <f>'Raw OI Data'!L15-'Raw OI Data'!N15</f>
        <v/>
      </c>
      <c r="R11" s="28">
        <f>'Raw OI Data'!L16-'Raw OI Data'!N16</f>
        <v/>
      </c>
      <c r="S11" s="28">
        <f>'Raw OI Data'!L17-'Raw OI Data'!N17</f>
        <v/>
      </c>
      <c r="T11" s="28">
        <f>'Raw OI Data'!L18-'Raw OI Data'!N18</f>
        <v/>
      </c>
      <c r="U11" s="26" t="n"/>
      <c r="V11" s="28">
        <f>'Raw OI Data'!L19-'Raw OI Data'!N19</f>
        <v/>
      </c>
      <c r="W11" s="28">
        <f>'Raw OI Data'!L20-'Raw OI Data'!N20</f>
        <v/>
      </c>
      <c r="X11" s="28">
        <f>'Raw OI Data'!L21-'Raw OI Data'!N21</f>
        <v/>
      </c>
      <c r="Y11" s="28">
        <f>'Raw OI Data'!L22-'Raw OI Data'!N22</f>
        <v/>
      </c>
      <c r="Z11" s="26" t="n"/>
    </row>
    <row r="12" ht="14" customHeight="1">
      <c r="A12" s="25" t="inlineStr">
        <is>
          <t>Net Total OI</t>
        </is>
      </c>
      <c r="B12" s="32">
        <f>'Raw OI Data'!O3-'Raw OI Data'!P3</f>
        <v/>
      </c>
      <c r="C12" s="32">
        <f>'Raw OI Data'!O4-'Raw OI Data'!P4</f>
        <v/>
      </c>
      <c r="D12" s="32">
        <f>'Raw OI Data'!O5-'Raw OI Data'!P5</f>
        <v/>
      </c>
      <c r="E12" s="32">
        <f>'Raw OI Data'!O6-'Raw OI Data'!P6</f>
        <v/>
      </c>
      <c r="F12" s="27" t="n"/>
      <c r="G12" s="32">
        <f>'Raw OI Data'!O7-'Raw OI Data'!P7</f>
        <v/>
      </c>
      <c r="H12" s="32">
        <f>'Raw OI Data'!O8-'Raw OI Data'!P8</f>
        <v/>
      </c>
      <c r="I12" s="32">
        <f>'Raw OI Data'!O9-'Raw OI Data'!P9</f>
        <v/>
      </c>
      <c r="J12" s="32">
        <f>'Raw OI Data'!O10-'Raw OI Data'!P10</f>
        <v/>
      </c>
      <c r="K12" s="27" t="n"/>
      <c r="L12" s="32">
        <f>'Raw OI Data'!O11-'Raw OI Data'!P11</f>
        <v/>
      </c>
      <c r="M12" s="32">
        <f>'Raw OI Data'!O12-'Raw OI Data'!P12</f>
        <v/>
      </c>
      <c r="N12" s="32">
        <f>'Raw OI Data'!O13-'Raw OI Data'!P13</f>
        <v/>
      </c>
      <c r="O12" s="32">
        <f>'Raw OI Data'!O14-'Raw OI Data'!P14</f>
        <v/>
      </c>
      <c r="P12" s="27" t="n"/>
      <c r="Q12" s="32">
        <f>'Raw OI Data'!O15-'Raw OI Data'!P15</f>
        <v/>
      </c>
      <c r="R12" s="32">
        <f>'Raw OI Data'!O16-'Raw OI Data'!P16</f>
        <v/>
      </c>
      <c r="S12" s="32">
        <f>'Raw OI Data'!O17-'Raw OI Data'!P17</f>
        <v/>
      </c>
      <c r="T12" s="32">
        <f>'Raw OI Data'!O18-'Raw OI Data'!P18</f>
        <v/>
      </c>
      <c r="U12" s="27" t="n"/>
      <c r="V12" s="32">
        <f>'Raw OI Data'!O19-'Raw OI Data'!P19</f>
        <v/>
      </c>
      <c r="W12" s="32">
        <f>'Raw OI Data'!O20-'Raw OI Data'!P20</f>
        <v/>
      </c>
      <c r="X12" s="32">
        <f>'Raw OI Data'!O21-'Raw OI Data'!P21</f>
        <v/>
      </c>
      <c r="Y12" s="32">
        <f>'Raw OI Data'!O22-'Raw OI Data'!P22</f>
        <v/>
      </c>
      <c r="Z12" s="27" t="n"/>
    </row>
    <row r="13" ht="16" customHeight="1">
      <c r="A13" s="14" t="inlineStr">
        <is>
          <t>LONG-SHORT RATIOS</t>
        </is>
      </c>
    </row>
    <row r="14" ht="14" customHeight="1">
      <c r="A14" s="25" t="inlineStr">
        <is>
          <t>Fut Index L/S</t>
        </is>
      </c>
      <c r="B14" s="33">
        <f>IFERROR('Raw OI Data'!C3/'Raw OI Data'!D3,0)</f>
        <v/>
      </c>
      <c r="C14" s="33">
        <f>IFERROR('Raw OI Data'!C4/'Raw OI Data'!D4,0)</f>
        <v/>
      </c>
      <c r="D14" s="33">
        <f>IFERROR('Raw OI Data'!C5/'Raw OI Data'!D5,0)</f>
        <v/>
      </c>
      <c r="E14" s="33">
        <f>IFERROR('Raw OI Data'!C6/'Raw OI Data'!D6,0)</f>
        <v/>
      </c>
      <c r="F14" s="26" t="n"/>
      <c r="G14" s="33">
        <f>IFERROR('Raw OI Data'!C7/'Raw OI Data'!D7,0)</f>
        <v/>
      </c>
      <c r="H14" s="33">
        <f>IFERROR('Raw OI Data'!C8/'Raw OI Data'!D8,0)</f>
        <v/>
      </c>
      <c r="I14" s="33">
        <f>IFERROR('Raw OI Data'!C9/'Raw OI Data'!D9,0)</f>
        <v/>
      </c>
      <c r="J14" s="33">
        <f>IFERROR('Raw OI Data'!C10/'Raw OI Data'!D10,0)</f>
        <v/>
      </c>
      <c r="K14" s="26" t="n"/>
      <c r="L14" s="33">
        <f>IFERROR('Raw OI Data'!C11/'Raw OI Data'!D11,0)</f>
        <v/>
      </c>
      <c r="M14" s="33">
        <f>IFERROR('Raw OI Data'!C12/'Raw OI Data'!D12,0)</f>
        <v/>
      </c>
      <c r="N14" s="33">
        <f>IFERROR('Raw OI Data'!C13/'Raw OI Data'!D13,0)</f>
        <v/>
      </c>
      <c r="O14" s="33">
        <f>IFERROR('Raw OI Data'!C14/'Raw OI Data'!D14,0)</f>
        <v/>
      </c>
      <c r="P14" s="26" t="n"/>
      <c r="Q14" s="33">
        <f>IFERROR('Raw OI Data'!C15/'Raw OI Data'!D15,0)</f>
        <v/>
      </c>
      <c r="R14" s="33">
        <f>IFERROR('Raw OI Data'!C16/'Raw OI Data'!D16,0)</f>
        <v/>
      </c>
      <c r="S14" s="33">
        <f>IFERROR('Raw OI Data'!C17/'Raw OI Data'!D17,0)</f>
        <v/>
      </c>
      <c r="T14" s="33">
        <f>IFERROR('Raw OI Data'!C18/'Raw OI Data'!D18,0)</f>
        <v/>
      </c>
      <c r="U14" s="26" t="n"/>
      <c r="V14" s="33">
        <f>IFERROR('Raw OI Data'!C19/'Raw OI Data'!D19,0)</f>
        <v/>
      </c>
      <c r="W14" s="33">
        <f>IFERROR('Raw OI Data'!C20/'Raw OI Data'!D20,0)</f>
        <v/>
      </c>
      <c r="X14" s="33">
        <f>IFERROR('Raw OI Data'!C21/'Raw OI Data'!D21,0)</f>
        <v/>
      </c>
      <c r="Y14" s="33">
        <f>IFERROR('Raw OI Data'!C22/'Raw OI Data'!D22,0)</f>
        <v/>
      </c>
      <c r="Z14" s="26" t="n"/>
    </row>
    <row r="15" ht="14" customHeight="1">
      <c r="A15" s="25" t="inlineStr">
        <is>
          <t>Fut Stock L/S</t>
        </is>
      </c>
      <c r="B15" s="29">
        <f>IFERROR('Raw OI Data'!E3/'Raw OI Data'!F3,0)</f>
        <v/>
      </c>
      <c r="C15" s="29">
        <f>IFERROR('Raw OI Data'!E4/'Raw OI Data'!F4,0)</f>
        <v/>
      </c>
      <c r="D15" s="29">
        <f>IFERROR('Raw OI Data'!E5/'Raw OI Data'!F5,0)</f>
        <v/>
      </c>
      <c r="E15" s="29">
        <f>IFERROR('Raw OI Data'!E6/'Raw OI Data'!F6,0)</f>
        <v/>
      </c>
      <c r="F15" s="27" t="n"/>
      <c r="G15" s="29">
        <f>IFERROR('Raw OI Data'!E7/'Raw OI Data'!F7,0)</f>
        <v/>
      </c>
      <c r="H15" s="29">
        <f>IFERROR('Raw OI Data'!E8/'Raw OI Data'!F8,0)</f>
        <v/>
      </c>
      <c r="I15" s="29">
        <f>IFERROR('Raw OI Data'!E9/'Raw OI Data'!F9,0)</f>
        <v/>
      </c>
      <c r="J15" s="29">
        <f>IFERROR('Raw OI Data'!E10/'Raw OI Data'!F10,0)</f>
        <v/>
      </c>
      <c r="K15" s="27" t="n"/>
      <c r="L15" s="29">
        <f>IFERROR('Raw OI Data'!E11/'Raw OI Data'!F11,0)</f>
        <v/>
      </c>
      <c r="M15" s="29">
        <f>IFERROR('Raw OI Data'!E12/'Raw OI Data'!F12,0)</f>
        <v/>
      </c>
      <c r="N15" s="29">
        <f>IFERROR('Raw OI Data'!E13/'Raw OI Data'!F13,0)</f>
        <v/>
      </c>
      <c r="O15" s="29">
        <f>IFERROR('Raw OI Data'!E14/'Raw OI Data'!F14,0)</f>
        <v/>
      </c>
      <c r="P15" s="27" t="n"/>
      <c r="Q15" s="29">
        <f>IFERROR('Raw OI Data'!E15/'Raw OI Data'!F15,0)</f>
        <v/>
      </c>
      <c r="R15" s="29">
        <f>IFERROR('Raw OI Data'!E16/'Raw OI Data'!F16,0)</f>
        <v/>
      </c>
      <c r="S15" s="29">
        <f>IFERROR('Raw OI Data'!E17/'Raw OI Data'!F17,0)</f>
        <v/>
      </c>
      <c r="T15" s="29">
        <f>IFERROR('Raw OI Data'!E18/'Raw OI Data'!F18,0)</f>
        <v/>
      </c>
      <c r="U15" s="27" t="n"/>
      <c r="V15" s="29">
        <f>IFERROR('Raw OI Data'!E19/'Raw OI Data'!F19,0)</f>
        <v/>
      </c>
      <c r="W15" s="29">
        <f>IFERROR('Raw OI Data'!E20/'Raw OI Data'!F20,0)</f>
        <v/>
      </c>
      <c r="X15" s="29">
        <f>IFERROR('Raw OI Data'!E21/'Raw OI Data'!F21,0)</f>
        <v/>
      </c>
      <c r="Y15" s="29">
        <f>IFERROR('Raw OI Data'!E22/'Raw OI Data'!F22,0)</f>
        <v/>
      </c>
      <c r="Z15" s="27" t="n"/>
    </row>
    <row r="16" ht="14" customHeight="1">
      <c r="A16" s="25" t="inlineStr">
        <is>
          <t>Total L/S Ratio</t>
        </is>
      </c>
      <c r="B16" s="33">
        <f>IFERROR('Raw OI Data'!O3/'Raw OI Data'!P3,0)</f>
        <v/>
      </c>
      <c r="C16" s="33">
        <f>IFERROR('Raw OI Data'!O4/'Raw OI Data'!P4,0)</f>
        <v/>
      </c>
      <c r="D16" s="33">
        <f>IFERROR('Raw OI Data'!O5/'Raw OI Data'!P5,0)</f>
        <v/>
      </c>
      <c r="E16" s="33">
        <f>IFERROR('Raw OI Data'!O6/'Raw OI Data'!P6,0)</f>
        <v/>
      </c>
      <c r="F16" s="26" t="n"/>
      <c r="G16" s="33">
        <f>IFERROR('Raw OI Data'!O7/'Raw OI Data'!P7,0)</f>
        <v/>
      </c>
      <c r="H16" s="33">
        <f>IFERROR('Raw OI Data'!O8/'Raw OI Data'!P8,0)</f>
        <v/>
      </c>
      <c r="I16" s="33">
        <f>IFERROR('Raw OI Data'!O9/'Raw OI Data'!P9,0)</f>
        <v/>
      </c>
      <c r="J16" s="33">
        <f>IFERROR('Raw OI Data'!O10/'Raw OI Data'!P10,0)</f>
        <v/>
      </c>
      <c r="K16" s="26" t="n"/>
      <c r="L16" s="33">
        <f>IFERROR('Raw OI Data'!O11/'Raw OI Data'!P11,0)</f>
        <v/>
      </c>
      <c r="M16" s="33">
        <f>IFERROR('Raw OI Data'!O12/'Raw OI Data'!P12,0)</f>
        <v/>
      </c>
      <c r="N16" s="33">
        <f>IFERROR('Raw OI Data'!O13/'Raw OI Data'!P13,0)</f>
        <v/>
      </c>
      <c r="O16" s="33">
        <f>IFERROR('Raw OI Data'!O14/'Raw OI Data'!P14,0)</f>
        <v/>
      </c>
      <c r="P16" s="26" t="n"/>
      <c r="Q16" s="33">
        <f>IFERROR('Raw OI Data'!O15/'Raw OI Data'!P15,0)</f>
        <v/>
      </c>
      <c r="R16" s="33">
        <f>IFERROR('Raw OI Data'!O16/'Raw OI Data'!P16,0)</f>
        <v/>
      </c>
      <c r="S16" s="33">
        <f>IFERROR('Raw OI Data'!O17/'Raw OI Data'!P17,0)</f>
        <v/>
      </c>
      <c r="T16" s="33">
        <f>IFERROR('Raw OI Data'!O18/'Raw OI Data'!P18,0)</f>
        <v/>
      </c>
      <c r="U16" s="26" t="n"/>
      <c r="V16" s="33">
        <f>IFERROR('Raw OI Data'!O19/'Raw OI Data'!P19,0)</f>
        <v/>
      </c>
      <c r="W16" s="33">
        <f>IFERROR('Raw OI Data'!O20/'Raw OI Data'!P20,0)</f>
        <v/>
      </c>
      <c r="X16" s="33">
        <f>IFERROR('Raw OI Data'!O21/'Raw OI Data'!P21,0)</f>
        <v/>
      </c>
      <c r="Y16" s="33">
        <f>IFERROR('Raw OI Data'!O22/'Raw OI Data'!P22,0)</f>
        <v/>
      </c>
      <c r="Z16" s="26" t="n"/>
    </row>
    <row r="17" ht="16" customHeight="1">
      <c r="A17" s="14" t="inlineStr">
        <is>
          <t>MARKET SHARE</t>
        </is>
      </c>
    </row>
    <row r="18" ht="14" customHeight="1">
      <c r="A18" s="25" t="inlineStr">
        <is>
          <t>% Mkt Long</t>
        </is>
      </c>
      <c r="B18" s="30">
        <f>IFERROR('Raw OI Data'!O3/SUM('Raw OI Data'!O3,'Raw OI Data'!O4,'Raw OI Data'!O5,'Raw OI Data'!O6),0)</f>
        <v/>
      </c>
      <c r="C18" s="30">
        <f>IFERROR('Raw OI Data'!O4/SUM('Raw OI Data'!O3,'Raw OI Data'!O4,'Raw OI Data'!O5,'Raw OI Data'!O6),0)</f>
        <v/>
      </c>
      <c r="D18" s="30">
        <f>IFERROR('Raw OI Data'!O5/SUM('Raw OI Data'!O3,'Raw OI Data'!O4,'Raw OI Data'!O5,'Raw OI Data'!O6),0)</f>
        <v/>
      </c>
      <c r="E18" s="30">
        <f>IFERROR('Raw OI Data'!O6/SUM('Raw OI Data'!O3,'Raw OI Data'!O4,'Raw OI Data'!O5,'Raw OI Data'!O6),0)</f>
        <v/>
      </c>
      <c r="F18" s="26" t="n"/>
      <c r="G18" s="30">
        <f>IFERROR('Raw OI Data'!O7/SUM('Raw OI Data'!O7,'Raw OI Data'!O8,'Raw OI Data'!O9,'Raw OI Data'!O10),0)</f>
        <v/>
      </c>
      <c r="H18" s="30">
        <f>IFERROR('Raw OI Data'!O8/SUM('Raw OI Data'!O7,'Raw OI Data'!O8,'Raw OI Data'!O9,'Raw OI Data'!O10),0)</f>
        <v/>
      </c>
      <c r="I18" s="30">
        <f>IFERROR('Raw OI Data'!O9/SUM('Raw OI Data'!O7,'Raw OI Data'!O8,'Raw OI Data'!O9,'Raw OI Data'!O10),0)</f>
        <v/>
      </c>
      <c r="J18" s="30">
        <f>IFERROR('Raw OI Data'!O10/SUM('Raw OI Data'!O7,'Raw OI Data'!O8,'Raw OI Data'!O9,'Raw OI Data'!O10),0)</f>
        <v/>
      </c>
      <c r="K18" s="26" t="n"/>
      <c r="L18" s="30">
        <f>IFERROR('Raw OI Data'!O11/SUM('Raw OI Data'!O11,'Raw OI Data'!O12,'Raw OI Data'!O13,'Raw OI Data'!O14),0)</f>
        <v/>
      </c>
      <c r="M18" s="30">
        <f>IFERROR('Raw OI Data'!O12/SUM('Raw OI Data'!O11,'Raw OI Data'!O12,'Raw OI Data'!O13,'Raw OI Data'!O14),0)</f>
        <v/>
      </c>
      <c r="N18" s="30">
        <f>IFERROR('Raw OI Data'!O13/SUM('Raw OI Data'!O11,'Raw OI Data'!O12,'Raw OI Data'!O13,'Raw OI Data'!O14),0)</f>
        <v/>
      </c>
      <c r="O18" s="30">
        <f>IFERROR('Raw OI Data'!O14/SUM('Raw OI Data'!O11,'Raw OI Data'!O12,'Raw OI Data'!O13,'Raw OI Data'!O14),0)</f>
        <v/>
      </c>
      <c r="P18" s="26" t="n"/>
      <c r="Q18" s="30">
        <f>IFERROR('Raw OI Data'!O15/SUM('Raw OI Data'!O15,'Raw OI Data'!O16,'Raw OI Data'!O17,'Raw OI Data'!O18),0)</f>
        <v/>
      </c>
      <c r="R18" s="30">
        <f>IFERROR('Raw OI Data'!O16/SUM('Raw OI Data'!O15,'Raw OI Data'!O16,'Raw OI Data'!O17,'Raw OI Data'!O18),0)</f>
        <v/>
      </c>
      <c r="S18" s="30">
        <f>IFERROR('Raw OI Data'!O17/SUM('Raw OI Data'!O15,'Raw OI Data'!O16,'Raw OI Data'!O17,'Raw OI Data'!O18),0)</f>
        <v/>
      </c>
      <c r="T18" s="30">
        <f>IFERROR('Raw OI Data'!O18/SUM('Raw OI Data'!O15,'Raw OI Data'!O16,'Raw OI Data'!O17,'Raw OI Data'!O18),0)</f>
        <v/>
      </c>
      <c r="U18" s="26" t="n"/>
      <c r="V18" s="30">
        <f>IFERROR('Raw OI Data'!O19/SUM('Raw OI Data'!O19,'Raw OI Data'!O20,'Raw OI Data'!O21,'Raw OI Data'!O22),0)</f>
        <v/>
      </c>
      <c r="W18" s="30">
        <f>IFERROR('Raw OI Data'!O20/SUM('Raw OI Data'!O19,'Raw OI Data'!O20,'Raw OI Data'!O21,'Raw OI Data'!O22),0)</f>
        <v/>
      </c>
      <c r="X18" s="30">
        <f>IFERROR('Raw OI Data'!O21/SUM('Raw OI Data'!O19,'Raw OI Data'!O20,'Raw OI Data'!O21,'Raw OI Data'!O22),0)</f>
        <v/>
      </c>
      <c r="Y18" s="30">
        <f>IFERROR('Raw OI Data'!O22/SUM('Raw OI Data'!O19,'Raw OI Data'!O20,'Raw OI Data'!O21,'Raw OI Data'!O22),0)</f>
        <v/>
      </c>
      <c r="Z18" s="26" t="n"/>
    </row>
    <row r="19" ht="14" customHeight="1">
      <c r="A19" s="25" t="inlineStr">
        <is>
          <t>% Mkt Short</t>
        </is>
      </c>
      <c r="B19" s="31">
        <f>IFERROR('Raw OI Data'!P3/SUM('Raw OI Data'!P3,'Raw OI Data'!P4,'Raw OI Data'!P5,'Raw OI Data'!P6),0)</f>
        <v/>
      </c>
      <c r="C19" s="31">
        <f>IFERROR('Raw OI Data'!P4/SUM('Raw OI Data'!P3,'Raw OI Data'!P4,'Raw OI Data'!P5,'Raw OI Data'!P6),0)</f>
        <v/>
      </c>
      <c r="D19" s="31">
        <f>IFERROR('Raw OI Data'!P5/SUM('Raw OI Data'!P3,'Raw OI Data'!P4,'Raw OI Data'!P5,'Raw OI Data'!P6),0)</f>
        <v/>
      </c>
      <c r="E19" s="31">
        <f>IFERROR('Raw OI Data'!P6/SUM('Raw OI Data'!P3,'Raw OI Data'!P4,'Raw OI Data'!P5,'Raw OI Data'!P6),0)</f>
        <v/>
      </c>
      <c r="F19" s="27" t="n"/>
      <c r="G19" s="31">
        <f>IFERROR('Raw OI Data'!P7/SUM('Raw OI Data'!P7,'Raw OI Data'!P8,'Raw OI Data'!P9,'Raw OI Data'!P10),0)</f>
        <v/>
      </c>
      <c r="H19" s="31">
        <f>IFERROR('Raw OI Data'!P8/SUM('Raw OI Data'!P7,'Raw OI Data'!P8,'Raw OI Data'!P9,'Raw OI Data'!P10),0)</f>
        <v/>
      </c>
      <c r="I19" s="31">
        <f>IFERROR('Raw OI Data'!P9/SUM('Raw OI Data'!P7,'Raw OI Data'!P8,'Raw OI Data'!P9,'Raw OI Data'!P10),0)</f>
        <v/>
      </c>
      <c r="J19" s="31">
        <f>IFERROR('Raw OI Data'!P10/SUM('Raw OI Data'!P7,'Raw OI Data'!P8,'Raw OI Data'!P9,'Raw OI Data'!P10),0)</f>
        <v/>
      </c>
      <c r="K19" s="27" t="n"/>
      <c r="L19" s="31">
        <f>IFERROR('Raw OI Data'!P11/SUM('Raw OI Data'!P11,'Raw OI Data'!P12,'Raw OI Data'!P13,'Raw OI Data'!P14),0)</f>
        <v/>
      </c>
      <c r="M19" s="31">
        <f>IFERROR('Raw OI Data'!P12/SUM('Raw OI Data'!P11,'Raw OI Data'!P12,'Raw OI Data'!P13,'Raw OI Data'!P14),0)</f>
        <v/>
      </c>
      <c r="N19" s="31">
        <f>IFERROR('Raw OI Data'!P13/SUM('Raw OI Data'!P11,'Raw OI Data'!P12,'Raw OI Data'!P13,'Raw OI Data'!P14),0)</f>
        <v/>
      </c>
      <c r="O19" s="31">
        <f>IFERROR('Raw OI Data'!P14/SUM('Raw OI Data'!P11,'Raw OI Data'!P12,'Raw OI Data'!P13,'Raw OI Data'!P14),0)</f>
        <v/>
      </c>
      <c r="P19" s="27" t="n"/>
      <c r="Q19" s="31">
        <f>IFERROR('Raw OI Data'!P15/SUM('Raw OI Data'!P15,'Raw OI Data'!P16,'Raw OI Data'!P17,'Raw OI Data'!P18),0)</f>
        <v/>
      </c>
      <c r="R19" s="31">
        <f>IFERROR('Raw OI Data'!P16/SUM('Raw OI Data'!P15,'Raw OI Data'!P16,'Raw OI Data'!P17,'Raw OI Data'!P18),0)</f>
        <v/>
      </c>
      <c r="S19" s="31">
        <f>IFERROR('Raw OI Data'!P17/SUM('Raw OI Data'!P15,'Raw OI Data'!P16,'Raw OI Data'!P17,'Raw OI Data'!P18),0)</f>
        <v/>
      </c>
      <c r="T19" s="31">
        <f>IFERROR('Raw OI Data'!P18/SUM('Raw OI Data'!P15,'Raw OI Data'!P16,'Raw OI Data'!P17,'Raw OI Data'!P18),0)</f>
        <v/>
      </c>
      <c r="U19" s="27" t="n"/>
      <c r="V19" s="31">
        <f>IFERROR('Raw OI Data'!P19/SUM('Raw OI Data'!P19,'Raw OI Data'!P20,'Raw OI Data'!P21,'Raw OI Data'!P22),0)</f>
        <v/>
      </c>
      <c r="W19" s="31">
        <f>IFERROR('Raw OI Data'!P20/SUM('Raw OI Data'!P19,'Raw OI Data'!P20,'Raw OI Data'!P21,'Raw OI Data'!P22),0)</f>
        <v/>
      </c>
      <c r="X19" s="31">
        <f>IFERROR('Raw OI Data'!P21/SUM('Raw OI Data'!P19,'Raw OI Data'!P20,'Raw OI Data'!P21,'Raw OI Data'!P22),0)</f>
        <v/>
      </c>
      <c r="Y19" s="31">
        <f>IFERROR('Raw OI Data'!P22/SUM('Raw OI Data'!P19,'Raw OI Data'!P20,'Raw OI Data'!P21,'Raw OI Data'!P22),0)</f>
        <v/>
      </c>
      <c r="Z19" s="27" t="n"/>
    </row>
    <row r="20" ht="14" customHeight="1">
      <c r="A20" s="25" t="inlineStr">
        <is>
          <t>% Mkt Fut Idx Long</t>
        </is>
      </c>
      <c r="B20" s="30">
        <f>IFERROR('Raw OI Data'!C3/SUM('Raw OI Data'!C3,'Raw OI Data'!C4,'Raw OI Data'!C5,'Raw OI Data'!C6),0)</f>
        <v/>
      </c>
      <c r="C20" s="30">
        <f>IFERROR('Raw OI Data'!C4/SUM('Raw OI Data'!C3,'Raw OI Data'!C4,'Raw OI Data'!C5,'Raw OI Data'!C6),0)</f>
        <v/>
      </c>
      <c r="D20" s="30">
        <f>IFERROR('Raw OI Data'!C5/SUM('Raw OI Data'!C3,'Raw OI Data'!C4,'Raw OI Data'!C5,'Raw OI Data'!C6),0)</f>
        <v/>
      </c>
      <c r="E20" s="30">
        <f>IFERROR('Raw OI Data'!C6/SUM('Raw OI Data'!C3,'Raw OI Data'!C4,'Raw OI Data'!C5,'Raw OI Data'!C6),0)</f>
        <v/>
      </c>
      <c r="F20" s="26" t="n"/>
      <c r="G20" s="30">
        <f>IFERROR('Raw OI Data'!C7/SUM('Raw OI Data'!C7,'Raw OI Data'!C8,'Raw OI Data'!C9,'Raw OI Data'!C10),0)</f>
        <v/>
      </c>
      <c r="H20" s="30">
        <f>IFERROR('Raw OI Data'!C8/SUM('Raw OI Data'!C7,'Raw OI Data'!C8,'Raw OI Data'!C9,'Raw OI Data'!C10),0)</f>
        <v/>
      </c>
      <c r="I20" s="30">
        <f>IFERROR('Raw OI Data'!C9/SUM('Raw OI Data'!C7,'Raw OI Data'!C8,'Raw OI Data'!C9,'Raw OI Data'!C10),0)</f>
        <v/>
      </c>
      <c r="J20" s="30">
        <f>IFERROR('Raw OI Data'!C10/SUM('Raw OI Data'!C7,'Raw OI Data'!C8,'Raw OI Data'!C9,'Raw OI Data'!C10),0)</f>
        <v/>
      </c>
      <c r="K20" s="26" t="n"/>
      <c r="L20" s="30">
        <f>IFERROR('Raw OI Data'!C11/SUM('Raw OI Data'!C11,'Raw OI Data'!C12,'Raw OI Data'!C13,'Raw OI Data'!C14),0)</f>
        <v/>
      </c>
      <c r="M20" s="30">
        <f>IFERROR('Raw OI Data'!C12/SUM('Raw OI Data'!C11,'Raw OI Data'!C12,'Raw OI Data'!C13,'Raw OI Data'!C14),0)</f>
        <v/>
      </c>
      <c r="N20" s="30">
        <f>IFERROR('Raw OI Data'!C13/SUM('Raw OI Data'!C11,'Raw OI Data'!C12,'Raw OI Data'!C13,'Raw OI Data'!C14),0)</f>
        <v/>
      </c>
      <c r="O20" s="30">
        <f>IFERROR('Raw OI Data'!C14/SUM('Raw OI Data'!C11,'Raw OI Data'!C12,'Raw OI Data'!C13,'Raw OI Data'!C14),0)</f>
        <v/>
      </c>
      <c r="P20" s="26" t="n"/>
      <c r="Q20" s="30">
        <f>IFERROR('Raw OI Data'!C15/SUM('Raw OI Data'!C15,'Raw OI Data'!C16,'Raw OI Data'!C17,'Raw OI Data'!C18),0)</f>
        <v/>
      </c>
      <c r="R20" s="30">
        <f>IFERROR('Raw OI Data'!C16/SUM('Raw OI Data'!C15,'Raw OI Data'!C16,'Raw OI Data'!C17,'Raw OI Data'!C18),0)</f>
        <v/>
      </c>
      <c r="S20" s="30">
        <f>IFERROR('Raw OI Data'!C17/SUM('Raw OI Data'!C15,'Raw OI Data'!C16,'Raw OI Data'!C17,'Raw OI Data'!C18),0)</f>
        <v/>
      </c>
      <c r="T20" s="30">
        <f>IFERROR('Raw OI Data'!C18/SUM('Raw OI Data'!C15,'Raw OI Data'!C16,'Raw OI Data'!C17,'Raw OI Data'!C18),0)</f>
        <v/>
      </c>
      <c r="U20" s="26" t="n"/>
      <c r="V20" s="30">
        <f>IFERROR('Raw OI Data'!C19/SUM('Raw OI Data'!C19,'Raw OI Data'!C20,'Raw OI Data'!C21,'Raw OI Data'!C22),0)</f>
        <v/>
      </c>
      <c r="W20" s="30">
        <f>IFERROR('Raw OI Data'!C20/SUM('Raw OI Data'!C19,'Raw OI Data'!C20,'Raw OI Data'!C21,'Raw OI Data'!C22),0)</f>
        <v/>
      </c>
      <c r="X20" s="30">
        <f>IFERROR('Raw OI Data'!C21/SUM('Raw OI Data'!C19,'Raw OI Data'!C20,'Raw OI Data'!C21,'Raw OI Data'!C22),0)</f>
        <v/>
      </c>
      <c r="Y20" s="30">
        <f>IFERROR('Raw OI Data'!C22/SUM('Raw OI Data'!C19,'Raw OI Data'!C20,'Raw OI Data'!C21,'Raw OI Data'!C22),0)</f>
        <v/>
      </c>
      <c r="Z20" s="26" t="n"/>
    </row>
    <row r="21" ht="14" customHeight="1">
      <c r="A21" s="25" t="inlineStr">
        <is>
          <t>% Mkt Fut Stk Short</t>
        </is>
      </c>
      <c r="B21" s="31">
        <f>IFERROR('Raw OI Data'!F3/SUM('Raw OI Data'!F3,'Raw OI Data'!F4,'Raw OI Data'!F5,'Raw OI Data'!F6),0)</f>
        <v/>
      </c>
      <c r="C21" s="31">
        <f>IFERROR('Raw OI Data'!F4/SUM('Raw OI Data'!F3,'Raw OI Data'!F4,'Raw OI Data'!F5,'Raw OI Data'!F6),0)</f>
        <v/>
      </c>
      <c r="D21" s="31">
        <f>IFERROR('Raw OI Data'!F5/SUM('Raw OI Data'!F3,'Raw OI Data'!F4,'Raw OI Data'!F5,'Raw OI Data'!F6),0)</f>
        <v/>
      </c>
      <c r="E21" s="31">
        <f>IFERROR('Raw OI Data'!F6/SUM('Raw OI Data'!F3,'Raw OI Data'!F4,'Raw OI Data'!F5,'Raw OI Data'!F6),0)</f>
        <v/>
      </c>
      <c r="F21" s="27" t="n"/>
      <c r="G21" s="31">
        <f>IFERROR('Raw OI Data'!F7/SUM('Raw OI Data'!F7,'Raw OI Data'!F8,'Raw OI Data'!F9,'Raw OI Data'!F10),0)</f>
        <v/>
      </c>
      <c r="H21" s="31">
        <f>IFERROR('Raw OI Data'!F8/SUM('Raw OI Data'!F7,'Raw OI Data'!F8,'Raw OI Data'!F9,'Raw OI Data'!F10),0)</f>
        <v/>
      </c>
      <c r="I21" s="31">
        <f>IFERROR('Raw OI Data'!F9/SUM('Raw OI Data'!F7,'Raw OI Data'!F8,'Raw OI Data'!F9,'Raw OI Data'!F10),0)</f>
        <v/>
      </c>
      <c r="J21" s="31">
        <f>IFERROR('Raw OI Data'!F10/SUM('Raw OI Data'!F7,'Raw OI Data'!F8,'Raw OI Data'!F9,'Raw OI Data'!F10),0)</f>
        <v/>
      </c>
      <c r="K21" s="27" t="n"/>
      <c r="L21" s="31">
        <f>IFERROR('Raw OI Data'!F11/SUM('Raw OI Data'!F11,'Raw OI Data'!F12,'Raw OI Data'!F13,'Raw OI Data'!F14),0)</f>
        <v/>
      </c>
      <c r="M21" s="31">
        <f>IFERROR('Raw OI Data'!F12/SUM('Raw OI Data'!F11,'Raw OI Data'!F12,'Raw OI Data'!F13,'Raw OI Data'!F14),0)</f>
        <v/>
      </c>
      <c r="N21" s="31">
        <f>IFERROR('Raw OI Data'!F13/SUM('Raw OI Data'!F11,'Raw OI Data'!F12,'Raw OI Data'!F13,'Raw OI Data'!F14),0)</f>
        <v/>
      </c>
      <c r="O21" s="31">
        <f>IFERROR('Raw OI Data'!F14/SUM('Raw OI Data'!F11,'Raw OI Data'!F12,'Raw OI Data'!F13,'Raw OI Data'!F14),0)</f>
        <v/>
      </c>
      <c r="P21" s="27" t="n"/>
      <c r="Q21" s="31">
        <f>IFERROR('Raw OI Data'!F15/SUM('Raw OI Data'!F15,'Raw OI Data'!F16,'Raw OI Data'!F17,'Raw OI Data'!F18),0)</f>
        <v/>
      </c>
      <c r="R21" s="31">
        <f>IFERROR('Raw OI Data'!F16/SUM('Raw OI Data'!F15,'Raw OI Data'!F16,'Raw OI Data'!F17,'Raw OI Data'!F18),0)</f>
        <v/>
      </c>
      <c r="S21" s="31">
        <f>IFERROR('Raw OI Data'!F17/SUM('Raw OI Data'!F15,'Raw OI Data'!F16,'Raw OI Data'!F17,'Raw OI Data'!F18),0)</f>
        <v/>
      </c>
      <c r="T21" s="31">
        <f>IFERROR('Raw OI Data'!F18/SUM('Raw OI Data'!F15,'Raw OI Data'!F16,'Raw OI Data'!F17,'Raw OI Data'!F18),0)</f>
        <v/>
      </c>
      <c r="U21" s="27" t="n"/>
      <c r="V21" s="31">
        <f>IFERROR('Raw OI Data'!F19/SUM('Raw OI Data'!F19,'Raw OI Data'!F20,'Raw OI Data'!F21,'Raw OI Data'!F22),0)</f>
        <v/>
      </c>
      <c r="W21" s="31">
        <f>IFERROR('Raw OI Data'!F20/SUM('Raw OI Data'!F19,'Raw OI Data'!F20,'Raw OI Data'!F21,'Raw OI Data'!F22),0)</f>
        <v/>
      </c>
      <c r="X21" s="31">
        <f>IFERROR('Raw OI Data'!F21/SUM('Raw OI Data'!F19,'Raw OI Data'!F20,'Raw OI Data'!F21,'Raw OI Data'!F22),0)</f>
        <v/>
      </c>
      <c r="Y21" s="31">
        <f>IFERROR('Raw OI Data'!F22/SUM('Raw OI Data'!F19,'Raw OI Data'!F20,'Raw OI Data'!F21,'Raw OI Data'!F22),0)</f>
        <v/>
      </c>
      <c r="Z21" s="27" t="n"/>
    </row>
  </sheetData>
  <mergeCells count="9">
    <mergeCell ref="A13:Z13"/>
    <mergeCell ref="A1:Z1"/>
    <mergeCell ref="A17:Z17"/>
    <mergeCell ref="V2:Y2"/>
    <mergeCell ref="L2:O2"/>
    <mergeCell ref="A4:Z4"/>
    <mergeCell ref="G2:J2"/>
    <mergeCell ref="B2:E2"/>
    <mergeCell ref="Q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2" customWidth="1" min="6" max="6"/>
    <col width="13" customWidth="1" min="7" max="7"/>
    <col width="13" customWidth="1" min="8" max="8"/>
    <col width="13" customWidth="1" min="9" max="9"/>
    <col width="13" customWidth="1" min="10" max="10"/>
    <col width="2" customWidth="1" min="11" max="11"/>
    <col width="13" customWidth="1" min="12" max="12"/>
    <col width="13" customWidth="1" min="13" max="13"/>
    <col width="13" customWidth="1" min="14" max="14"/>
    <col width="13" customWidth="1" min="15" max="15"/>
    <col width="2" customWidth="1" min="16" max="16"/>
    <col width="13" customWidth="1" min="17" max="17"/>
    <col width="13" customWidth="1" min="18" max="18"/>
    <col width="13" customWidth="1" min="19" max="19"/>
    <col width="13" customWidth="1" min="20" max="20"/>
    <col width="2" customWidth="1" min="21" max="21"/>
    <col width="13" customWidth="1" min="22" max="22"/>
    <col width="13" customWidth="1" min="23" max="23"/>
    <col width="13" customWidth="1" min="24" max="24"/>
    <col width="13" customWidth="1" min="25" max="25"/>
    <col width="2" customWidth="1" min="26" max="26"/>
  </cols>
  <sheetData>
    <row r="1" ht="22" customHeight="1">
      <c r="A1" s="1" t="inlineStr">
        <is>
          <t>NSE FAO — Put-Call Ratio Analysis (Participant OI, Volume &amp; Chain)</t>
        </is>
      </c>
    </row>
    <row r="2" ht="16" customHeight="1">
      <c r="A2" s="19" t="inlineStr">
        <is>
          <t>Metric</t>
        </is>
      </c>
      <c r="B2" s="19" t="inlineStr">
        <is>
          <t>Jun 29 2026</t>
        </is>
      </c>
      <c r="C2" s="20" t="n"/>
      <c r="D2" s="20" t="n"/>
      <c r="E2" s="20" t="n"/>
      <c r="F2" s="20" t="n"/>
      <c r="G2" s="19" t="inlineStr">
        <is>
          <t>Jun 30 2026</t>
        </is>
      </c>
      <c r="H2" s="20" t="n"/>
      <c r="I2" s="20" t="n"/>
      <c r="J2" s="20" t="n"/>
      <c r="K2" s="20" t="n"/>
      <c r="L2" s="19" t="inlineStr">
        <is>
          <t>Jul 01 2026</t>
        </is>
      </c>
      <c r="M2" s="20" t="n"/>
      <c r="N2" s="20" t="n"/>
      <c r="O2" s="20" t="n"/>
      <c r="P2" s="20" t="n"/>
      <c r="Q2" s="19" t="inlineStr">
        <is>
          <t>Jul 02 2026</t>
        </is>
      </c>
      <c r="R2" s="20" t="n"/>
      <c r="S2" s="20" t="n"/>
      <c r="T2" s="20" t="n"/>
      <c r="U2" s="20" t="n"/>
      <c r="V2" s="19" t="inlineStr">
        <is>
          <t>Jul 03 2026</t>
        </is>
      </c>
      <c r="W2" s="20" t="n"/>
      <c r="X2" s="20" t="n"/>
      <c r="Y2" s="20" t="n"/>
      <c r="Z2" s="20" t="n"/>
    </row>
    <row r="3" ht="16" customHeight="1">
      <c r="A3" s="22" t="inlineStr"/>
      <c r="B3" s="23" t="inlineStr">
        <is>
          <t>Client</t>
        </is>
      </c>
      <c r="C3" s="23" t="inlineStr">
        <is>
          <t>DII</t>
        </is>
      </c>
      <c r="D3" s="23" t="inlineStr">
        <is>
          <t>FII</t>
        </is>
      </c>
      <c r="E3" s="23" t="inlineStr">
        <is>
          <t>Pro</t>
        </is>
      </c>
      <c r="F3" s="24" t="n"/>
      <c r="G3" s="23" t="inlineStr">
        <is>
          <t>Client</t>
        </is>
      </c>
      <c r="H3" s="23" t="inlineStr">
        <is>
          <t>DII</t>
        </is>
      </c>
      <c r="I3" s="23" t="inlineStr">
        <is>
          <t>FII</t>
        </is>
      </c>
      <c r="J3" s="23" t="inlineStr">
        <is>
          <t>Pro</t>
        </is>
      </c>
      <c r="K3" s="24" t="n"/>
      <c r="L3" s="23" t="inlineStr">
        <is>
          <t>Client</t>
        </is>
      </c>
      <c r="M3" s="23" t="inlineStr">
        <is>
          <t>DII</t>
        </is>
      </c>
      <c r="N3" s="23" t="inlineStr">
        <is>
          <t>FII</t>
        </is>
      </c>
      <c r="O3" s="23" t="inlineStr">
        <is>
          <t>Pro</t>
        </is>
      </c>
      <c r="P3" s="24" t="n"/>
      <c r="Q3" s="23" t="inlineStr">
        <is>
          <t>Client</t>
        </is>
      </c>
      <c r="R3" s="23" t="inlineStr">
        <is>
          <t>DII</t>
        </is>
      </c>
      <c r="S3" s="23" t="inlineStr">
        <is>
          <t>FII</t>
        </is>
      </c>
      <c r="T3" s="23" t="inlineStr">
        <is>
          <t>Pro</t>
        </is>
      </c>
      <c r="U3" s="24" t="n"/>
      <c r="V3" s="23" t="inlineStr">
        <is>
          <t>Client</t>
        </is>
      </c>
      <c r="W3" s="23" t="inlineStr">
        <is>
          <t>DII</t>
        </is>
      </c>
      <c r="X3" s="23" t="inlineStr">
        <is>
          <t>FII</t>
        </is>
      </c>
      <c r="Y3" s="23" t="inlineStr">
        <is>
          <t>Pro</t>
        </is>
      </c>
      <c r="Z3" s="24" t="n"/>
    </row>
    <row r="4" ht="16" customHeight="1">
      <c r="A4" s="14" t="inlineStr">
        <is>
          <t>PARTICIPANT OI PCR  (Put Long / Call Long)</t>
        </is>
      </c>
    </row>
    <row r="5" ht="14" customHeight="1">
      <c r="A5" s="25" t="inlineStr">
        <is>
          <t>Index OI PCR</t>
        </is>
      </c>
      <c r="B5" s="18">
        <f>IFERROR('Raw OI Data'!H3/'Raw OI Data'!G3,0)</f>
        <v/>
      </c>
      <c r="C5" s="18">
        <f>IFERROR('Raw OI Data'!H4/'Raw OI Data'!G4,0)</f>
        <v/>
      </c>
      <c r="D5" s="18">
        <f>IFERROR('Raw OI Data'!H5/'Raw OI Data'!G5,0)</f>
        <v/>
      </c>
      <c r="E5" s="18">
        <f>IFERROR('Raw OI Data'!H6/'Raw OI Data'!G6,0)</f>
        <v/>
      </c>
      <c r="F5" s="26" t="n"/>
      <c r="G5" s="18">
        <f>IFERROR('Raw OI Data'!H7/'Raw OI Data'!G7,0)</f>
        <v/>
      </c>
      <c r="H5" s="18">
        <f>IFERROR('Raw OI Data'!H8/'Raw OI Data'!G8,0)</f>
        <v/>
      </c>
      <c r="I5" s="18">
        <f>IFERROR('Raw OI Data'!H9/'Raw OI Data'!G9,0)</f>
        <v/>
      </c>
      <c r="J5" s="18">
        <f>IFERROR('Raw OI Data'!H10/'Raw OI Data'!G10,0)</f>
        <v/>
      </c>
      <c r="K5" s="26" t="n"/>
      <c r="L5" s="18">
        <f>IFERROR('Raw OI Data'!H11/'Raw OI Data'!G11,0)</f>
        <v/>
      </c>
      <c r="M5" s="18">
        <f>IFERROR('Raw OI Data'!H12/'Raw OI Data'!G12,0)</f>
        <v/>
      </c>
      <c r="N5" s="18">
        <f>IFERROR('Raw OI Data'!H13/'Raw OI Data'!G13,0)</f>
        <v/>
      </c>
      <c r="O5" s="18">
        <f>IFERROR('Raw OI Data'!H14/'Raw OI Data'!G14,0)</f>
        <v/>
      </c>
      <c r="P5" s="26" t="n"/>
      <c r="Q5" s="18">
        <f>IFERROR('Raw OI Data'!H15/'Raw OI Data'!G15,0)</f>
        <v/>
      </c>
      <c r="R5" s="18">
        <f>IFERROR('Raw OI Data'!H16/'Raw OI Data'!G16,0)</f>
        <v/>
      </c>
      <c r="S5" s="18">
        <f>IFERROR('Raw OI Data'!H17/'Raw OI Data'!G17,0)</f>
        <v/>
      </c>
      <c r="T5" s="18">
        <f>IFERROR('Raw OI Data'!H18/'Raw OI Data'!G18,0)</f>
        <v/>
      </c>
      <c r="U5" s="26" t="n"/>
      <c r="V5" s="18">
        <f>IFERROR('Raw OI Data'!H19/'Raw OI Data'!G19,0)</f>
        <v/>
      </c>
      <c r="W5" s="18">
        <f>IFERROR('Raw OI Data'!H20/'Raw OI Data'!G20,0)</f>
        <v/>
      </c>
      <c r="X5" s="18">
        <f>IFERROR('Raw OI Data'!H21/'Raw OI Data'!G21,0)</f>
        <v/>
      </c>
      <c r="Y5" s="18">
        <f>IFERROR('Raw OI Data'!H22/'Raw OI Data'!G22,0)</f>
        <v/>
      </c>
      <c r="Z5" s="26" t="n"/>
    </row>
    <row r="6" ht="14" customHeight="1">
      <c r="A6" s="25" t="inlineStr">
        <is>
          <t>Stock OI PCR</t>
        </is>
      </c>
      <c r="B6" s="16">
        <f>IFERROR('Raw OI Data'!L3/'Raw OI Data'!K3,0)</f>
        <v/>
      </c>
      <c r="C6" s="16">
        <f>IFERROR('Raw OI Data'!L4/'Raw OI Data'!K4,0)</f>
        <v/>
      </c>
      <c r="D6" s="16">
        <f>IFERROR('Raw OI Data'!L5/'Raw OI Data'!K5,0)</f>
        <v/>
      </c>
      <c r="E6" s="16">
        <f>IFERROR('Raw OI Data'!L6/'Raw OI Data'!K6,0)</f>
        <v/>
      </c>
      <c r="F6" s="27" t="n"/>
      <c r="G6" s="16">
        <f>IFERROR('Raw OI Data'!L7/'Raw OI Data'!K7,0)</f>
        <v/>
      </c>
      <c r="H6" s="16">
        <f>IFERROR('Raw OI Data'!L8/'Raw OI Data'!K8,0)</f>
        <v/>
      </c>
      <c r="I6" s="16">
        <f>IFERROR('Raw OI Data'!L9/'Raw OI Data'!K9,0)</f>
        <v/>
      </c>
      <c r="J6" s="16">
        <f>IFERROR('Raw OI Data'!L10/'Raw OI Data'!K10,0)</f>
        <v/>
      </c>
      <c r="K6" s="27" t="n"/>
      <c r="L6" s="16">
        <f>IFERROR('Raw OI Data'!L11/'Raw OI Data'!K11,0)</f>
        <v/>
      </c>
      <c r="M6" s="16">
        <f>IFERROR('Raw OI Data'!L12/'Raw OI Data'!K12,0)</f>
        <v/>
      </c>
      <c r="N6" s="16">
        <f>IFERROR('Raw OI Data'!L13/'Raw OI Data'!K13,0)</f>
        <v/>
      </c>
      <c r="O6" s="16">
        <f>IFERROR('Raw OI Data'!L14/'Raw OI Data'!K14,0)</f>
        <v/>
      </c>
      <c r="P6" s="27" t="n"/>
      <c r="Q6" s="16">
        <f>IFERROR('Raw OI Data'!L15/'Raw OI Data'!K15,0)</f>
        <v/>
      </c>
      <c r="R6" s="16">
        <f>IFERROR('Raw OI Data'!L16/'Raw OI Data'!K16,0)</f>
        <v/>
      </c>
      <c r="S6" s="16">
        <f>IFERROR('Raw OI Data'!L17/'Raw OI Data'!K17,0)</f>
        <v/>
      </c>
      <c r="T6" s="16">
        <f>IFERROR('Raw OI Data'!L18/'Raw OI Data'!K18,0)</f>
        <v/>
      </c>
      <c r="U6" s="27" t="n"/>
      <c r="V6" s="16">
        <f>IFERROR('Raw OI Data'!L19/'Raw OI Data'!K19,0)</f>
        <v/>
      </c>
      <c r="W6" s="16">
        <f>IFERROR('Raw OI Data'!L20/'Raw OI Data'!K20,0)</f>
        <v/>
      </c>
      <c r="X6" s="16">
        <f>IFERROR('Raw OI Data'!L21/'Raw OI Data'!K21,0)</f>
        <v/>
      </c>
      <c r="Y6" s="16">
        <f>IFERROR('Raw OI Data'!L22/'Raw OI Data'!K22,0)</f>
        <v/>
      </c>
      <c r="Z6" s="27" t="n"/>
    </row>
    <row r="7" ht="14" customHeight="1">
      <c r="A7" s="25" t="inlineStr">
        <is>
          <t>Combined OI PCR</t>
        </is>
      </c>
      <c r="B7" s="18">
        <f>IFERROR(('Raw OI Data'!H3+'Raw OI Data'!L3)/('Raw OI Data'!G3+'Raw OI Data'!K3),0)</f>
        <v/>
      </c>
      <c r="C7" s="18">
        <f>IFERROR(('Raw OI Data'!H4+'Raw OI Data'!L4)/('Raw OI Data'!G4+'Raw OI Data'!K4),0)</f>
        <v/>
      </c>
      <c r="D7" s="18">
        <f>IFERROR(('Raw OI Data'!H5+'Raw OI Data'!L5)/('Raw OI Data'!G5+'Raw OI Data'!K5),0)</f>
        <v/>
      </c>
      <c r="E7" s="18">
        <f>IFERROR(('Raw OI Data'!H6+'Raw OI Data'!L6)/('Raw OI Data'!G6+'Raw OI Data'!K6),0)</f>
        <v/>
      </c>
      <c r="F7" s="26" t="n"/>
      <c r="G7" s="18">
        <f>IFERROR(('Raw OI Data'!H7+'Raw OI Data'!L7)/('Raw OI Data'!G7+'Raw OI Data'!K7),0)</f>
        <v/>
      </c>
      <c r="H7" s="18">
        <f>IFERROR(('Raw OI Data'!H8+'Raw OI Data'!L8)/('Raw OI Data'!G8+'Raw OI Data'!K8),0)</f>
        <v/>
      </c>
      <c r="I7" s="18">
        <f>IFERROR(('Raw OI Data'!H9+'Raw OI Data'!L9)/('Raw OI Data'!G9+'Raw OI Data'!K9),0)</f>
        <v/>
      </c>
      <c r="J7" s="18">
        <f>IFERROR(('Raw OI Data'!H10+'Raw OI Data'!L10)/('Raw OI Data'!G10+'Raw OI Data'!K10),0)</f>
        <v/>
      </c>
      <c r="K7" s="26" t="n"/>
      <c r="L7" s="18">
        <f>IFERROR(('Raw OI Data'!H11+'Raw OI Data'!L11)/('Raw OI Data'!G11+'Raw OI Data'!K11),0)</f>
        <v/>
      </c>
      <c r="M7" s="18">
        <f>IFERROR(('Raw OI Data'!H12+'Raw OI Data'!L12)/('Raw OI Data'!G12+'Raw OI Data'!K12),0)</f>
        <v/>
      </c>
      <c r="N7" s="18">
        <f>IFERROR(('Raw OI Data'!H13+'Raw OI Data'!L13)/('Raw OI Data'!G13+'Raw OI Data'!K13),0)</f>
        <v/>
      </c>
      <c r="O7" s="18">
        <f>IFERROR(('Raw OI Data'!H14+'Raw OI Data'!L14)/('Raw OI Data'!G14+'Raw OI Data'!K14),0)</f>
        <v/>
      </c>
      <c r="P7" s="26" t="n"/>
      <c r="Q7" s="18">
        <f>IFERROR(('Raw OI Data'!H15+'Raw OI Data'!L15)/('Raw OI Data'!G15+'Raw OI Data'!K15),0)</f>
        <v/>
      </c>
      <c r="R7" s="18">
        <f>IFERROR(('Raw OI Data'!H16+'Raw OI Data'!L16)/('Raw OI Data'!G16+'Raw OI Data'!K16),0)</f>
        <v/>
      </c>
      <c r="S7" s="18">
        <f>IFERROR(('Raw OI Data'!H17+'Raw OI Data'!L17)/('Raw OI Data'!G17+'Raw OI Data'!K17),0)</f>
        <v/>
      </c>
      <c r="T7" s="18">
        <f>IFERROR(('Raw OI Data'!H18+'Raw OI Data'!L18)/('Raw OI Data'!G18+'Raw OI Data'!K18),0)</f>
        <v/>
      </c>
      <c r="U7" s="26" t="n"/>
      <c r="V7" s="18">
        <f>IFERROR(('Raw OI Data'!H19+'Raw OI Data'!L19)/('Raw OI Data'!G19+'Raw OI Data'!K19),0)</f>
        <v/>
      </c>
      <c r="W7" s="18">
        <f>IFERROR(('Raw OI Data'!H20+'Raw OI Data'!L20)/('Raw OI Data'!G20+'Raw OI Data'!K20),0)</f>
        <v/>
      </c>
      <c r="X7" s="18">
        <f>IFERROR(('Raw OI Data'!H21+'Raw OI Data'!L21)/('Raw OI Data'!G21+'Raw OI Data'!K21),0)</f>
        <v/>
      </c>
      <c r="Y7" s="18">
        <f>IFERROR(('Raw OI Data'!H22+'Raw OI Data'!L22)/('Raw OI Data'!G22+'Raw OI Data'!K22),0)</f>
        <v/>
      </c>
      <c r="Z7" s="26" t="n"/>
    </row>
    <row r="8" ht="14" customHeight="1">
      <c r="A8" s="25" t="inlineStr">
        <is>
          <t>Index Net PCR</t>
        </is>
      </c>
      <c r="B8" s="16">
        <f>IFERROR(('Raw OI Data'!H3-'Raw OI Data'!J3)/('Raw OI Data'!G3-'Raw OI Data'!I3),0)</f>
        <v/>
      </c>
      <c r="C8" s="16">
        <f>IFERROR(('Raw OI Data'!H4-'Raw OI Data'!J4)/('Raw OI Data'!G4-'Raw OI Data'!I4),0)</f>
        <v/>
      </c>
      <c r="D8" s="16">
        <f>IFERROR(('Raw OI Data'!H5-'Raw OI Data'!J5)/('Raw OI Data'!G5-'Raw OI Data'!I5),0)</f>
        <v/>
      </c>
      <c r="E8" s="16">
        <f>IFERROR(('Raw OI Data'!H6-'Raw OI Data'!J6)/('Raw OI Data'!G6-'Raw OI Data'!I6),0)</f>
        <v/>
      </c>
      <c r="F8" s="27" t="n"/>
      <c r="G8" s="16">
        <f>IFERROR(('Raw OI Data'!H7-'Raw OI Data'!J7)/('Raw OI Data'!G7-'Raw OI Data'!I7),0)</f>
        <v/>
      </c>
      <c r="H8" s="16">
        <f>IFERROR(('Raw OI Data'!H8-'Raw OI Data'!J8)/('Raw OI Data'!G8-'Raw OI Data'!I8),0)</f>
        <v/>
      </c>
      <c r="I8" s="16">
        <f>IFERROR(('Raw OI Data'!H9-'Raw OI Data'!J9)/('Raw OI Data'!G9-'Raw OI Data'!I9),0)</f>
        <v/>
      </c>
      <c r="J8" s="16">
        <f>IFERROR(('Raw OI Data'!H10-'Raw OI Data'!J10)/('Raw OI Data'!G10-'Raw OI Data'!I10),0)</f>
        <v/>
      </c>
      <c r="K8" s="27" t="n"/>
      <c r="L8" s="16">
        <f>IFERROR(('Raw OI Data'!H11-'Raw OI Data'!J11)/('Raw OI Data'!G11-'Raw OI Data'!I11),0)</f>
        <v/>
      </c>
      <c r="M8" s="16">
        <f>IFERROR(('Raw OI Data'!H12-'Raw OI Data'!J12)/('Raw OI Data'!G12-'Raw OI Data'!I12),0)</f>
        <v/>
      </c>
      <c r="N8" s="16">
        <f>IFERROR(('Raw OI Data'!H13-'Raw OI Data'!J13)/('Raw OI Data'!G13-'Raw OI Data'!I13),0)</f>
        <v/>
      </c>
      <c r="O8" s="16">
        <f>IFERROR(('Raw OI Data'!H14-'Raw OI Data'!J14)/('Raw OI Data'!G14-'Raw OI Data'!I14),0)</f>
        <v/>
      </c>
      <c r="P8" s="27" t="n"/>
      <c r="Q8" s="16">
        <f>IFERROR(('Raw OI Data'!H15-'Raw OI Data'!J15)/('Raw OI Data'!G15-'Raw OI Data'!I15),0)</f>
        <v/>
      </c>
      <c r="R8" s="16">
        <f>IFERROR(('Raw OI Data'!H16-'Raw OI Data'!J16)/('Raw OI Data'!G16-'Raw OI Data'!I16),0)</f>
        <v/>
      </c>
      <c r="S8" s="16">
        <f>IFERROR(('Raw OI Data'!H17-'Raw OI Data'!J17)/('Raw OI Data'!G17-'Raw OI Data'!I17),0)</f>
        <v/>
      </c>
      <c r="T8" s="16">
        <f>IFERROR(('Raw OI Data'!H18-'Raw OI Data'!J18)/('Raw OI Data'!G18-'Raw OI Data'!I18),0)</f>
        <v/>
      </c>
      <c r="U8" s="27" t="n"/>
      <c r="V8" s="16">
        <f>IFERROR(('Raw OI Data'!H19-'Raw OI Data'!J19)/('Raw OI Data'!G19-'Raw OI Data'!I19),0)</f>
        <v/>
      </c>
      <c r="W8" s="16">
        <f>IFERROR(('Raw OI Data'!H20-'Raw OI Data'!J20)/('Raw OI Data'!G20-'Raw OI Data'!I20),0)</f>
        <v/>
      </c>
      <c r="X8" s="16">
        <f>IFERROR(('Raw OI Data'!H21-'Raw OI Data'!J21)/('Raw OI Data'!G21-'Raw OI Data'!I21),0)</f>
        <v/>
      </c>
      <c r="Y8" s="16">
        <f>IFERROR(('Raw OI Data'!H22-'Raw OI Data'!J22)/('Raw OI Data'!G22-'Raw OI Data'!I22),0)</f>
        <v/>
      </c>
      <c r="Z8" s="27" t="n"/>
    </row>
    <row r="9" ht="14" customHeight="1">
      <c r="A9" s="25" t="inlineStr">
        <is>
          <t>Short-side PCR</t>
        </is>
      </c>
      <c r="B9" s="18">
        <f>IFERROR('Raw OI Data'!J3/'Raw OI Data'!I3,0)</f>
        <v/>
      </c>
      <c r="C9" s="18">
        <f>IFERROR('Raw OI Data'!J4/'Raw OI Data'!I4,0)</f>
        <v/>
      </c>
      <c r="D9" s="18">
        <f>IFERROR('Raw OI Data'!J5/'Raw OI Data'!I5,0)</f>
        <v/>
      </c>
      <c r="E9" s="18">
        <f>IFERROR('Raw OI Data'!J6/'Raw OI Data'!I6,0)</f>
        <v/>
      </c>
      <c r="F9" s="26" t="n"/>
      <c r="G9" s="18">
        <f>IFERROR('Raw OI Data'!J7/'Raw OI Data'!I7,0)</f>
        <v/>
      </c>
      <c r="H9" s="18">
        <f>IFERROR('Raw OI Data'!J8/'Raw OI Data'!I8,0)</f>
        <v/>
      </c>
      <c r="I9" s="18">
        <f>IFERROR('Raw OI Data'!J9/'Raw OI Data'!I9,0)</f>
        <v/>
      </c>
      <c r="J9" s="18">
        <f>IFERROR('Raw OI Data'!J10/'Raw OI Data'!I10,0)</f>
        <v/>
      </c>
      <c r="K9" s="26" t="n"/>
      <c r="L9" s="18">
        <f>IFERROR('Raw OI Data'!J11/'Raw OI Data'!I11,0)</f>
        <v/>
      </c>
      <c r="M9" s="18">
        <f>IFERROR('Raw OI Data'!J12/'Raw OI Data'!I12,0)</f>
        <v/>
      </c>
      <c r="N9" s="18">
        <f>IFERROR('Raw OI Data'!J13/'Raw OI Data'!I13,0)</f>
        <v/>
      </c>
      <c r="O9" s="18">
        <f>IFERROR('Raw OI Data'!J14/'Raw OI Data'!I14,0)</f>
        <v/>
      </c>
      <c r="P9" s="26" t="n"/>
      <c r="Q9" s="18">
        <f>IFERROR('Raw OI Data'!J15/'Raw OI Data'!I15,0)</f>
        <v/>
      </c>
      <c r="R9" s="18">
        <f>IFERROR('Raw OI Data'!J16/'Raw OI Data'!I16,0)</f>
        <v/>
      </c>
      <c r="S9" s="18">
        <f>IFERROR('Raw OI Data'!J17/'Raw OI Data'!I17,0)</f>
        <v/>
      </c>
      <c r="T9" s="18">
        <f>IFERROR('Raw OI Data'!J18/'Raw OI Data'!I18,0)</f>
        <v/>
      </c>
      <c r="U9" s="26" t="n"/>
      <c r="V9" s="18">
        <f>IFERROR('Raw OI Data'!J19/'Raw OI Data'!I19,0)</f>
        <v/>
      </c>
      <c r="W9" s="18">
        <f>IFERROR('Raw OI Data'!J20/'Raw OI Data'!I20,0)</f>
        <v/>
      </c>
      <c r="X9" s="18">
        <f>IFERROR('Raw OI Data'!J21/'Raw OI Data'!I21,0)</f>
        <v/>
      </c>
      <c r="Y9" s="18">
        <f>IFERROR('Raw OI Data'!J22/'Raw OI Data'!I22,0)</f>
        <v/>
      </c>
      <c r="Z9" s="26" t="n"/>
    </row>
    <row r="10" ht="16" customHeight="1">
      <c r="A10" s="14" t="inlineStr">
        <is>
          <t>PARTICIPANT VOLUME PCR  (Put Buy / Call Buy)</t>
        </is>
      </c>
    </row>
    <row r="11" ht="14" customHeight="1">
      <c r="A11" s="25" t="inlineStr">
        <is>
          <t>Index Vol PCR</t>
        </is>
      </c>
      <c r="B11" s="18">
        <f>IFERROR('Raw TV Data'!H3/'Raw TV Data'!G3,0)</f>
        <v/>
      </c>
      <c r="C11" s="18">
        <f>IFERROR('Raw TV Data'!H4/'Raw TV Data'!G4,0)</f>
        <v/>
      </c>
      <c r="D11" s="18">
        <f>IFERROR('Raw TV Data'!H5/'Raw TV Data'!G5,0)</f>
        <v/>
      </c>
      <c r="E11" s="18">
        <f>IFERROR('Raw TV Data'!H6/'Raw TV Data'!G6,0)</f>
        <v/>
      </c>
      <c r="F11" s="26" t="n"/>
      <c r="G11" s="18">
        <f>IFERROR('Raw TV Data'!H7/'Raw TV Data'!G7,0)</f>
        <v/>
      </c>
      <c r="H11" s="18">
        <f>IFERROR('Raw TV Data'!H8/'Raw TV Data'!G8,0)</f>
        <v/>
      </c>
      <c r="I11" s="18">
        <f>IFERROR('Raw TV Data'!H9/'Raw TV Data'!G9,0)</f>
        <v/>
      </c>
      <c r="J11" s="18">
        <f>IFERROR('Raw TV Data'!H10/'Raw TV Data'!G10,0)</f>
        <v/>
      </c>
      <c r="K11" s="26" t="n"/>
      <c r="L11" s="18">
        <f>IFERROR('Raw TV Data'!H11/'Raw TV Data'!G11,0)</f>
        <v/>
      </c>
      <c r="M11" s="18">
        <f>IFERROR('Raw TV Data'!H12/'Raw TV Data'!G12,0)</f>
        <v/>
      </c>
      <c r="N11" s="18">
        <f>IFERROR('Raw TV Data'!H13/'Raw TV Data'!G13,0)</f>
        <v/>
      </c>
      <c r="O11" s="18">
        <f>IFERROR('Raw TV Data'!H14/'Raw TV Data'!G14,0)</f>
        <v/>
      </c>
      <c r="P11" s="26" t="n"/>
      <c r="Q11" s="18">
        <f>IFERROR('Raw TV Data'!H15/'Raw TV Data'!G15,0)</f>
        <v/>
      </c>
      <c r="R11" s="18">
        <f>IFERROR('Raw TV Data'!H16/'Raw TV Data'!G16,0)</f>
        <v/>
      </c>
      <c r="S11" s="18">
        <f>IFERROR('Raw TV Data'!H17/'Raw TV Data'!G17,0)</f>
        <v/>
      </c>
      <c r="T11" s="18">
        <f>IFERROR('Raw TV Data'!H18/'Raw TV Data'!G18,0)</f>
        <v/>
      </c>
      <c r="U11" s="26" t="n"/>
      <c r="V11" s="18">
        <f>IFERROR('Raw TV Data'!H19/'Raw TV Data'!G19,0)</f>
        <v/>
      </c>
      <c r="W11" s="18">
        <f>IFERROR('Raw TV Data'!H20/'Raw TV Data'!G20,0)</f>
        <v/>
      </c>
      <c r="X11" s="18">
        <f>IFERROR('Raw TV Data'!H21/'Raw TV Data'!G21,0)</f>
        <v/>
      </c>
      <c r="Y11" s="18">
        <f>IFERROR('Raw TV Data'!H22/'Raw TV Data'!G22,0)</f>
        <v/>
      </c>
      <c r="Z11" s="26" t="n"/>
    </row>
    <row r="12" ht="14" customHeight="1">
      <c r="A12" s="25" t="inlineStr">
        <is>
          <t>Stock Vol PCR</t>
        </is>
      </c>
      <c r="B12" s="16">
        <f>IFERROR('Raw TV Data'!L3/'Raw TV Data'!K3,0)</f>
        <v/>
      </c>
      <c r="C12" s="16">
        <f>IFERROR('Raw TV Data'!L4/'Raw TV Data'!K4,0)</f>
        <v/>
      </c>
      <c r="D12" s="16">
        <f>IFERROR('Raw TV Data'!L5/'Raw TV Data'!K5,0)</f>
        <v/>
      </c>
      <c r="E12" s="16">
        <f>IFERROR('Raw TV Data'!L6/'Raw TV Data'!K6,0)</f>
        <v/>
      </c>
      <c r="F12" s="27" t="n"/>
      <c r="G12" s="16">
        <f>IFERROR('Raw TV Data'!L7/'Raw TV Data'!K7,0)</f>
        <v/>
      </c>
      <c r="H12" s="16">
        <f>IFERROR('Raw TV Data'!L8/'Raw TV Data'!K8,0)</f>
        <v/>
      </c>
      <c r="I12" s="16">
        <f>IFERROR('Raw TV Data'!L9/'Raw TV Data'!K9,0)</f>
        <v/>
      </c>
      <c r="J12" s="16">
        <f>IFERROR('Raw TV Data'!L10/'Raw TV Data'!K10,0)</f>
        <v/>
      </c>
      <c r="K12" s="27" t="n"/>
      <c r="L12" s="16">
        <f>IFERROR('Raw TV Data'!L11/'Raw TV Data'!K11,0)</f>
        <v/>
      </c>
      <c r="M12" s="16">
        <f>IFERROR('Raw TV Data'!L12/'Raw TV Data'!K12,0)</f>
        <v/>
      </c>
      <c r="N12" s="16">
        <f>IFERROR('Raw TV Data'!L13/'Raw TV Data'!K13,0)</f>
        <v/>
      </c>
      <c r="O12" s="16">
        <f>IFERROR('Raw TV Data'!L14/'Raw TV Data'!K14,0)</f>
        <v/>
      </c>
      <c r="P12" s="27" t="n"/>
      <c r="Q12" s="16">
        <f>IFERROR('Raw TV Data'!L15/'Raw TV Data'!K15,0)</f>
        <v/>
      </c>
      <c r="R12" s="16">
        <f>IFERROR('Raw TV Data'!L16/'Raw TV Data'!K16,0)</f>
        <v/>
      </c>
      <c r="S12" s="16">
        <f>IFERROR('Raw TV Data'!L17/'Raw TV Data'!K17,0)</f>
        <v/>
      </c>
      <c r="T12" s="16">
        <f>IFERROR('Raw TV Data'!L18/'Raw TV Data'!K18,0)</f>
        <v/>
      </c>
      <c r="U12" s="27" t="n"/>
      <c r="V12" s="16">
        <f>IFERROR('Raw TV Data'!L19/'Raw TV Data'!K19,0)</f>
        <v/>
      </c>
      <c r="W12" s="16">
        <f>IFERROR('Raw TV Data'!L20/'Raw TV Data'!K20,0)</f>
        <v/>
      </c>
      <c r="X12" s="16">
        <f>IFERROR('Raw TV Data'!L21/'Raw TV Data'!K21,0)</f>
        <v/>
      </c>
      <c r="Y12" s="16">
        <f>IFERROR('Raw TV Data'!L22/'Raw TV Data'!K22,0)</f>
        <v/>
      </c>
      <c r="Z12" s="27" t="n"/>
    </row>
    <row r="13" ht="14" customHeight="1">
      <c r="A13" s="25" t="inlineStr">
        <is>
          <t>Combined Vol PCR</t>
        </is>
      </c>
      <c r="B13" s="18">
        <f>IFERROR(('Raw TV Data'!H3+'Raw TV Data'!L3)/('Raw TV Data'!G3+'Raw TV Data'!K3),0)</f>
        <v/>
      </c>
      <c r="C13" s="18">
        <f>IFERROR(('Raw TV Data'!H4+'Raw TV Data'!L4)/('Raw TV Data'!G4+'Raw TV Data'!K4),0)</f>
        <v/>
      </c>
      <c r="D13" s="18">
        <f>IFERROR(('Raw TV Data'!H5+'Raw TV Data'!L5)/('Raw TV Data'!G5+'Raw TV Data'!K5),0)</f>
        <v/>
      </c>
      <c r="E13" s="18">
        <f>IFERROR(('Raw TV Data'!H6+'Raw TV Data'!L6)/('Raw TV Data'!G6+'Raw TV Data'!K6),0)</f>
        <v/>
      </c>
      <c r="F13" s="26" t="n"/>
      <c r="G13" s="18">
        <f>IFERROR(('Raw TV Data'!H7+'Raw TV Data'!L7)/('Raw TV Data'!G7+'Raw TV Data'!K7),0)</f>
        <v/>
      </c>
      <c r="H13" s="18">
        <f>IFERROR(('Raw TV Data'!H8+'Raw TV Data'!L8)/('Raw TV Data'!G8+'Raw TV Data'!K8),0)</f>
        <v/>
      </c>
      <c r="I13" s="18">
        <f>IFERROR(('Raw TV Data'!H9+'Raw TV Data'!L9)/('Raw TV Data'!G9+'Raw TV Data'!K9),0)</f>
        <v/>
      </c>
      <c r="J13" s="18">
        <f>IFERROR(('Raw TV Data'!H10+'Raw TV Data'!L10)/('Raw TV Data'!G10+'Raw TV Data'!K10),0)</f>
        <v/>
      </c>
      <c r="K13" s="26" t="n"/>
      <c r="L13" s="18">
        <f>IFERROR(('Raw TV Data'!H11+'Raw TV Data'!L11)/('Raw TV Data'!G11+'Raw TV Data'!K11),0)</f>
        <v/>
      </c>
      <c r="M13" s="18">
        <f>IFERROR(('Raw TV Data'!H12+'Raw TV Data'!L12)/('Raw TV Data'!G12+'Raw TV Data'!K12),0)</f>
        <v/>
      </c>
      <c r="N13" s="18">
        <f>IFERROR(('Raw TV Data'!H13+'Raw TV Data'!L13)/('Raw TV Data'!G13+'Raw TV Data'!K13),0)</f>
        <v/>
      </c>
      <c r="O13" s="18">
        <f>IFERROR(('Raw TV Data'!H14+'Raw TV Data'!L14)/('Raw TV Data'!G14+'Raw TV Data'!K14),0)</f>
        <v/>
      </c>
      <c r="P13" s="26" t="n"/>
      <c r="Q13" s="18">
        <f>IFERROR(('Raw TV Data'!H15+'Raw TV Data'!L15)/('Raw TV Data'!G15+'Raw TV Data'!K15),0)</f>
        <v/>
      </c>
      <c r="R13" s="18">
        <f>IFERROR(('Raw TV Data'!H16+'Raw TV Data'!L16)/('Raw TV Data'!G16+'Raw TV Data'!K16),0)</f>
        <v/>
      </c>
      <c r="S13" s="18">
        <f>IFERROR(('Raw TV Data'!H17+'Raw TV Data'!L17)/('Raw TV Data'!G17+'Raw TV Data'!K17),0)</f>
        <v/>
      </c>
      <c r="T13" s="18">
        <f>IFERROR(('Raw TV Data'!H18+'Raw TV Data'!L18)/('Raw TV Data'!G18+'Raw TV Data'!K18),0)</f>
        <v/>
      </c>
      <c r="U13" s="26" t="n"/>
      <c r="V13" s="18">
        <f>IFERROR(('Raw TV Data'!H19+'Raw TV Data'!L19)/('Raw TV Data'!G19+'Raw TV Data'!K19),0)</f>
        <v/>
      </c>
      <c r="W13" s="18">
        <f>IFERROR(('Raw TV Data'!H20+'Raw TV Data'!L20)/('Raw TV Data'!G20+'Raw TV Data'!K20),0)</f>
        <v/>
      </c>
      <c r="X13" s="18">
        <f>IFERROR(('Raw TV Data'!H21+'Raw TV Data'!L21)/('Raw TV Data'!G21+'Raw TV Data'!K21),0)</f>
        <v/>
      </c>
      <c r="Y13" s="18">
        <f>IFERROR(('Raw TV Data'!H22+'Raw TV Data'!L22)/('Raw TV Data'!G22+'Raw TV Data'!K22),0)</f>
        <v/>
      </c>
      <c r="Z13" s="26" t="n"/>
    </row>
    <row r="14" ht="16" customHeight="1">
      <c r="A14" s="14" t="inlineStr">
        <is>
          <t>CHAIN-LEVEL AGGREGATE PCR  (all strikes, market-wide)</t>
        </is>
      </c>
    </row>
    <row r="15" ht="14" customHeight="1">
      <c r="A15" s="25" t="inlineStr">
        <is>
          <t>Aggregate OI PCR (Put OI / Call OI)</t>
        </is>
      </c>
      <c r="B15" s="34" t="n"/>
      <c r="C15" s="35" t="n"/>
      <c r="D15" s="35" t="n"/>
      <c r="E15" s="35" t="n"/>
      <c r="F15" s="26" t="n"/>
      <c r="G15" s="34" t="n"/>
      <c r="H15" s="35" t="n"/>
      <c r="I15" s="35" t="n"/>
      <c r="J15" s="35" t="n"/>
      <c r="K15" s="26" t="n"/>
      <c r="L15" s="34" t="n"/>
      <c r="M15" s="35" t="n"/>
      <c r="N15" s="35" t="n"/>
      <c r="O15" s="35" t="n"/>
      <c r="P15" s="26" t="n"/>
      <c r="Q15" s="34" t="n"/>
      <c r="R15" s="35" t="n"/>
      <c r="S15" s="35" t="n"/>
      <c r="T15" s="35" t="n"/>
      <c r="U15" s="26" t="n"/>
      <c r="V15" s="34" t="n">
        <v>0.9965000000000001</v>
      </c>
      <c r="W15" s="35" t="n"/>
      <c r="X15" s="35" t="n"/>
      <c r="Y15" s="35" t="n"/>
      <c r="Z15" s="26" t="n"/>
    </row>
    <row r="16" ht="14" customHeight="1">
      <c r="A16" s="25" t="inlineStr">
        <is>
          <t>Aggregate Volume PCR (Put Vol / Call Vol)</t>
        </is>
      </c>
      <c r="B16" s="34" t="n"/>
      <c r="C16" s="35" t="n"/>
      <c r="D16" s="35" t="n"/>
      <c r="E16" s="35" t="n"/>
      <c r="F16" s="27" t="n"/>
      <c r="G16" s="34" t="n"/>
      <c r="H16" s="35" t="n"/>
      <c r="I16" s="35" t="n"/>
      <c r="J16" s="35" t="n"/>
      <c r="K16" s="27" t="n"/>
      <c r="L16" s="34" t="n"/>
      <c r="M16" s="35" t="n"/>
      <c r="N16" s="35" t="n"/>
      <c r="O16" s="35" t="n"/>
      <c r="P16" s="27" t="n"/>
      <c r="Q16" s="34" t="n"/>
      <c r="R16" s="35" t="n"/>
      <c r="S16" s="35" t="n"/>
      <c r="T16" s="35" t="n"/>
      <c r="U16" s="27" t="n"/>
      <c r="V16" s="34" t="n">
        <v>1.0489</v>
      </c>
      <c r="W16" s="35" t="n"/>
      <c r="X16" s="35" t="n"/>
      <c r="Y16" s="35" t="n"/>
      <c r="Z16" s="27" t="n"/>
    </row>
  </sheetData>
  <mergeCells count="19">
    <mergeCell ref="B15:E15"/>
    <mergeCell ref="V16:Y16"/>
    <mergeCell ref="G16:J16"/>
    <mergeCell ref="Q2:T2"/>
    <mergeCell ref="A1:Z1"/>
    <mergeCell ref="Q16:T16"/>
    <mergeCell ref="B16:E16"/>
    <mergeCell ref="V2:Y2"/>
    <mergeCell ref="L2:O2"/>
    <mergeCell ref="G2:J2"/>
    <mergeCell ref="L16:O16"/>
    <mergeCell ref="B2:E2"/>
    <mergeCell ref="L15:O15"/>
    <mergeCell ref="A14:Z14"/>
    <mergeCell ref="A4:Z4"/>
    <mergeCell ref="V15:Y15"/>
    <mergeCell ref="G15:J15"/>
    <mergeCell ref="A10:Z10"/>
    <mergeCell ref="Q15:T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2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" customWidth="1" min="21" max="21"/>
    <col width="14" customWidth="1" min="22" max="22"/>
    <col width="14" customWidth="1" min="23" max="23"/>
    <col width="14" customWidth="1" min="24" max="24"/>
    <col width="14" customWidth="1" min="25" max="25"/>
    <col width="2" customWidth="1" min="26" max="26"/>
  </cols>
  <sheetData>
    <row r="1" ht="22" customHeight="1">
      <c r="A1" s="1" t="inlineStr">
        <is>
          <t>NSE FAO — OI / Trading Volume Efficiency Ratio</t>
        </is>
      </c>
    </row>
    <row r="2" ht="16" customHeight="1">
      <c r="A2" s="19" t="inlineStr">
        <is>
          <t>Metric</t>
        </is>
      </c>
      <c r="B2" s="19" t="inlineStr">
        <is>
          <t>Jun 29 2026</t>
        </is>
      </c>
      <c r="C2" s="20" t="n"/>
      <c r="D2" s="20" t="n"/>
      <c r="E2" s="20" t="n"/>
      <c r="F2" s="20" t="n"/>
      <c r="G2" s="19" t="inlineStr">
        <is>
          <t>Jun 30 2026</t>
        </is>
      </c>
      <c r="H2" s="20" t="n"/>
      <c r="I2" s="20" t="n"/>
      <c r="J2" s="20" t="n"/>
      <c r="K2" s="20" t="n"/>
      <c r="L2" s="19" t="inlineStr">
        <is>
          <t>Jul 01 2026</t>
        </is>
      </c>
      <c r="M2" s="20" t="n"/>
      <c r="N2" s="20" t="n"/>
      <c r="O2" s="20" t="n"/>
      <c r="P2" s="20" t="n"/>
      <c r="Q2" s="19" t="inlineStr">
        <is>
          <t>Jul 02 2026</t>
        </is>
      </c>
      <c r="R2" s="20" t="n"/>
      <c r="S2" s="20" t="n"/>
      <c r="T2" s="20" t="n"/>
      <c r="U2" s="20" t="n"/>
      <c r="V2" s="19" t="inlineStr">
        <is>
          <t>Jul 03 2026</t>
        </is>
      </c>
      <c r="W2" s="20" t="n"/>
      <c r="X2" s="20" t="n"/>
      <c r="Y2" s="20" t="n"/>
      <c r="Z2" s="20" t="n"/>
    </row>
    <row r="3" ht="16" customHeight="1">
      <c r="A3" s="22" t="inlineStr"/>
      <c r="B3" s="23" t="inlineStr">
        <is>
          <t>Client</t>
        </is>
      </c>
      <c r="C3" s="23" t="inlineStr">
        <is>
          <t>DII</t>
        </is>
      </c>
      <c r="D3" s="23" t="inlineStr">
        <is>
          <t>FII</t>
        </is>
      </c>
      <c r="E3" s="23" t="inlineStr">
        <is>
          <t>Pro</t>
        </is>
      </c>
      <c r="F3" s="24" t="n"/>
      <c r="G3" s="23" t="inlineStr">
        <is>
          <t>Client</t>
        </is>
      </c>
      <c r="H3" s="23" t="inlineStr">
        <is>
          <t>DII</t>
        </is>
      </c>
      <c r="I3" s="23" t="inlineStr">
        <is>
          <t>FII</t>
        </is>
      </c>
      <c r="J3" s="23" t="inlineStr">
        <is>
          <t>Pro</t>
        </is>
      </c>
      <c r="K3" s="24" t="n"/>
      <c r="L3" s="23" t="inlineStr">
        <is>
          <t>Client</t>
        </is>
      </c>
      <c r="M3" s="23" t="inlineStr">
        <is>
          <t>DII</t>
        </is>
      </c>
      <c r="N3" s="23" t="inlineStr">
        <is>
          <t>FII</t>
        </is>
      </c>
      <c r="O3" s="23" t="inlineStr">
        <is>
          <t>Pro</t>
        </is>
      </c>
      <c r="P3" s="24" t="n"/>
      <c r="Q3" s="23" t="inlineStr">
        <is>
          <t>Client</t>
        </is>
      </c>
      <c r="R3" s="23" t="inlineStr">
        <is>
          <t>DII</t>
        </is>
      </c>
      <c r="S3" s="23" t="inlineStr">
        <is>
          <t>FII</t>
        </is>
      </c>
      <c r="T3" s="23" t="inlineStr">
        <is>
          <t>Pro</t>
        </is>
      </c>
      <c r="U3" s="24" t="n"/>
      <c r="V3" s="23" t="inlineStr">
        <is>
          <t>Client</t>
        </is>
      </c>
      <c r="W3" s="23" t="inlineStr">
        <is>
          <t>DII</t>
        </is>
      </c>
      <c r="X3" s="23" t="inlineStr">
        <is>
          <t>FII</t>
        </is>
      </c>
      <c r="Y3" s="23" t="inlineStr">
        <is>
          <t>Pro</t>
        </is>
      </c>
      <c r="Z3" s="24" t="n"/>
    </row>
    <row r="4" ht="16" customHeight="1">
      <c r="A4" s="14" t="inlineStr">
        <is>
          <t>OI / VOLUME RATIO  (high = positions held with conviction, low = churn)</t>
        </is>
      </c>
    </row>
    <row r="5" ht="14" customHeight="1">
      <c r="A5" s="25" t="inlineStr">
        <is>
          <t>Fut Index OI/TV</t>
        </is>
      </c>
      <c r="B5" s="18">
        <f>IFERROR('Raw OI Data'!C3/'Raw TV Data'!C3,0)</f>
        <v/>
      </c>
      <c r="C5" s="18">
        <f>IFERROR('Raw OI Data'!C4/'Raw TV Data'!C4,0)</f>
        <v/>
      </c>
      <c r="D5" s="18">
        <f>IFERROR('Raw OI Data'!C5/'Raw TV Data'!C5,0)</f>
        <v/>
      </c>
      <c r="E5" s="18">
        <f>IFERROR('Raw OI Data'!C6/'Raw TV Data'!C6,0)</f>
        <v/>
      </c>
      <c r="F5" s="26" t="n"/>
      <c r="G5" s="18">
        <f>IFERROR('Raw OI Data'!C7/'Raw TV Data'!C7,0)</f>
        <v/>
      </c>
      <c r="H5" s="18">
        <f>IFERROR('Raw OI Data'!C8/'Raw TV Data'!C8,0)</f>
        <v/>
      </c>
      <c r="I5" s="18">
        <f>IFERROR('Raw OI Data'!C9/'Raw TV Data'!C9,0)</f>
        <v/>
      </c>
      <c r="J5" s="18">
        <f>IFERROR('Raw OI Data'!C10/'Raw TV Data'!C10,0)</f>
        <v/>
      </c>
      <c r="K5" s="26" t="n"/>
      <c r="L5" s="18">
        <f>IFERROR('Raw OI Data'!C11/'Raw TV Data'!C11,0)</f>
        <v/>
      </c>
      <c r="M5" s="18">
        <f>IFERROR('Raw OI Data'!C12/'Raw TV Data'!C12,0)</f>
        <v/>
      </c>
      <c r="N5" s="18">
        <f>IFERROR('Raw OI Data'!C13/'Raw TV Data'!C13,0)</f>
        <v/>
      </c>
      <c r="O5" s="18">
        <f>IFERROR('Raw OI Data'!C14/'Raw TV Data'!C14,0)</f>
        <v/>
      </c>
      <c r="P5" s="26" t="n"/>
      <c r="Q5" s="18">
        <f>IFERROR('Raw OI Data'!C15/'Raw TV Data'!C15,0)</f>
        <v/>
      </c>
      <c r="R5" s="18">
        <f>IFERROR('Raw OI Data'!C16/'Raw TV Data'!C16,0)</f>
        <v/>
      </c>
      <c r="S5" s="18">
        <f>IFERROR('Raw OI Data'!C17/'Raw TV Data'!C17,0)</f>
        <v/>
      </c>
      <c r="T5" s="18">
        <f>IFERROR('Raw OI Data'!C18/'Raw TV Data'!C18,0)</f>
        <v/>
      </c>
      <c r="U5" s="26" t="n"/>
      <c r="V5" s="18">
        <f>IFERROR('Raw OI Data'!C19/'Raw TV Data'!C19,0)</f>
        <v/>
      </c>
      <c r="W5" s="18">
        <f>IFERROR('Raw OI Data'!C20/'Raw TV Data'!C20,0)</f>
        <v/>
      </c>
      <c r="X5" s="18">
        <f>IFERROR('Raw OI Data'!C21/'Raw TV Data'!C21,0)</f>
        <v/>
      </c>
      <c r="Y5" s="18">
        <f>IFERROR('Raw OI Data'!C22/'Raw TV Data'!C22,0)</f>
        <v/>
      </c>
      <c r="Z5" s="26" t="n"/>
    </row>
    <row r="6" ht="14" customHeight="1">
      <c r="A6" s="25" t="inlineStr">
        <is>
          <t>Fut Stock OI/TV</t>
        </is>
      </c>
      <c r="B6" s="16">
        <f>IFERROR('Raw OI Data'!E3/'Raw TV Data'!E3,0)</f>
        <v/>
      </c>
      <c r="C6" s="16">
        <f>IFERROR('Raw OI Data'!E4/'Raw TV Data'!E4,0)</f>
        <v/>
      </c>
      <c r="D6" s="16">
        <f>IFERROR('Raw OI Data'!E5/'Raw TV Data'!E5,0)</f>
        <v/>
      </c>
      <c r="E6" s="16">
        <f>IFERROR('Raw OI Data'!E6/'Raw TV Data'!E6,0)</f>
        <v/>
      </c>
      <c r="F6" s="27" t="n"/>
      <c r="G6" s="16">
        <f>IFERROR('Raw OI Data'!E7/'Raw TV Data'!E7,0)</f>
        <v/>
      </c>
      <c r="H6" s="16">
        <f>IFERROR('Raw OI Data'!E8/'Raw TV Data'!E8,0)</f>
        <v/>
      </c>
      <c r="I6" s="16">
        <f>IFERROR('Raw OI Data'!E9/'Raw TV Data'!E9,0)</f>
        <v/>
      </c>
      <c r="J6" s="16">
        <f>IFERROR('Raw OI Data'!E10/'Raw TV Data'!E10,0)</f>
        <v/>
      </c>
      <c r="K6" s="27" t="n"/>
      <c r="L6" s="16">
        <f>IFERROR('Raw OI Data'!E11/'Raw TV Data'!E11,0)</f>
        <v/>
      </c>
      <c r="M6" s="16">
        <f>IFERROR('Raw OI Data'!E12/'Raw TV Data'!E12,0)</f>
        <v/>
      </c>
      <c r="N6" s="16">
        <f>IFERROR('Raw OI Data'!E13/'Raw TV Data'!E13,0)</f>
        <v/>
      </c>
      <c r="O6" s="16">
        <f>IFERROR('Raw OI Data'!E14/'Raw TV Data'!E14,0)</f>
        <v/>
      </c>
      <c r="P6" s="27" t="n"/>
      <c r="Q6" s="16">
        <f>IFERROR('Raw OI Data'!E15/'Raw TV Data'!E15,0)</f>
        <v/>
      </c>
      <c r="R6" s="16">
        <f>IFERROR('Raw OI Data'!E16/'Raw TV Data'!E16,0)</f>
        <v/>
      </c>
      <c r="S6" s="16">
        <f>IFERROR('Raw OI Data'!E17/'Raw TV Data'!E17,0)</f>
        <v/>
      </c>
      <c r="T6" s="16">
        <f>IFERROR('Raw OI Data'!E18/'Raw TV Data'!E18,0)</f>
        <v/>
      </c>
      <c r="U6" s="27" t="n"/>
      <c r="V6" s="16">
        <f>IFERROR('Raw OI Data'!E19/'Raw TV Data'!E19,0)</f>
        <v/>
      </c>
      <c r="W6" s="16">
        <f>IFERROR('Raw OI Data'!E20/'Raw TV Data'!E20,0)</f>
        <v/>
      </c>
      <c r="X6" s="16">
        <f>IFERROR('Raw OI Data'!E21/'Raw TV Data'!E21,0)</f>
        <v/>
      </c>
      <c r="Y6" s="16">
        <f>IFERROR('Raw OI Data'!E22/'Raw TV Data'!E22,0)</f>
        <v/>
      </c>
      <c r="Z6" s="27" t="n"/>
    </row>
    <row r="7" ht="14" customHeight="1">
      <c r="A7" s="25" t="inlineStr">
        <is>
          <t>Idx Call OI/TV</t>
        </is>
      </c>
      <c r="B7" s="18">
        <f>IFERROR('Raw OI Data'!G3/'Raw TV Data'!G3,0)</f>
        <v/>
      </c>
      <c r="C7" s="18">
        <f>IFERROR('Raw OI Data'!G4/'Raw TV Data'!G4,0)</f>
        <v/>
      </c>
      <c r="D7" s="18">
        <f>IFERROR('Raw OI Data'!G5/'Raw TV Data'!G5,0)</f>
        <v/>
      </c>
      <c r="E7" s="18">
        <f>IFERROR('Raw OI Data'!G6/'Raw TV Data'!G6,0)</f>
        <v/>
      </c>
      <c r="F7" s="26" t="n"/>
      <c r="G7" s="18">
        <f>IFERROR('Raw OI Data'!G7/'Raw TV Data'!G7,0)</f>
        <v/>
      </c>
      <c r="H7" s="18">
        <f>IFERROR('Raw OI Data'!G8/'Raw TV Data'!G8,0)</f>
        <v/>
      </c>
      <c r="I7" s="18">
        <f>IFERROR('Raw OI Data'!G9/'Raw TV Data'!G9,0)</f>
        <v/>
      </c>
      <c r="J7" s="18">
        <f>IFERROR('Raw OI Data'!G10/'Raw TV Data'!G10,0)</f>
        <v/>
      </c>
      <c r="K7" s="26" t="n"/>
      <c r="L7" s="18">
        <f>IFERROR('Raw OI Data'!G11/'Raw TV Data'!G11,0)</f>
        <v/>
      </c>
      <c r="M7" s="18">
        <f>IFERROR('Raw OI Data'!G12/'Raw TV Data'!G12,0)</f>
        <v/>
      </c>
      <c r="N7" s="18">
        <f>IFERROR('Raw OI Data'!G13/'Raw TV Data'!G13,0)</f>
        <v/>
      </c>
      <c r="O7" s="18">
        <f>IFERROR('Raw OI Data'!G14/'Raw TV Data'!G14,0)</f>
        <v/>
      </c>
      <c r="P7" s="26" t="n"/>
      <c r="Q7" s="18">
        <f>IFERROR('Raw OI Data'!G15/'Raw TV Data'!G15,0)</f>
        <v/>
      </c>
      <c r="R7" s="18">
        <f>IFERROR('Raw OI Data'!G16/'Raw TV Data'!G16,0)</f>
        <v/>
      </c>
      <c r="S7" s="18">
        <f>IFERROR('Raw OI Data'!G17/'Raw TV Data'!G17,0)</f>
        <v/>
      </c>
      <c r="T7" s="18">
        <f>IFERROR('Raw OI Data'!G18/'Raw TV Data'!G18,0)</f>
        <v/>
      </c>
      <c r="U7" s="26" t="n"/>
      <c r="V7" s="18">
        <f>IFERROR('Raw OI Data'!G19/'Raw TV Data'!G19,0)</f>
        <v/>
      </c>
      <c r="W7" s="18">
        <f>IFERROR('Raw OI Data'!G20/'Raw TV Data'!G20,0)</f>
        <v/>
      </c>
      <c r="X7" s="18">
        <f>IFERROR('Raw OI Data'!G21/'Raw TV Data'!G21,0)</f>
        <v/>
      </c>
      <c r="Y7" s="18">
        <f>IFERROR('Raw OI Data'!G22/'Raw TV Data'!G22,0)</f>
        <v/>
      </c>
      <c r="Z7" s="26" t="n"/>
    </row>
    <row r="8" ht="14" customHeight="1">
      <c r="A8" s="25" t="inlineStr">
        <is>
          <t>Idx Put OI/TV</t>
        </is>
      </c>
      <c r="B8" s="16">
        <f>IFERROR('Raw OI Data'!H3/'Raw TV Data'!H3,0)</f>
        <v/>
      </c>
      <c r="C8" s="16">
        <f>IFERROR('Raw OI Data'!H4/'Raw TV Data'!H4,0)</f>
        <v/>
      </c>
      <c r="D8" s="16">
        <f>IFERROR('Raw OI Data'!H5/'Raw TV Data'!H5,0)</f>
        <v/>
      </c>
      <c r="E8" s="16">
        <f>IFERROR('Raw OI Data'!H6/'Raw TV Data'!H6,0)</f>
        <v/>
      </c>
      <c r="F8" s="27" t="n"/>
      <c r="G8" s="16">
        <f>IFERROR('Raw OI Data'!H7/'Raw TV Data'!H7,0)</f>
        <v/>
      </c>
      <c r="H8" s="16">
        <f>IFERROR('Raw OI Data'!H8/'Raw TV Data'!H8,0)</f>
        <v/>
      </c>
      <c r="I8" s="16">
        <f>IFERROR('Raw OI Data'!H9/'Raw TV Data'!H9,0)</f>
        <v/>
      </c>
      <c r="J8" s="16">
        <f>IFERROR('Raw OI Data'!H10/'Raw TV Data'!H10,0)</f>
        <v/>
      </c>
      <c r="K8" s="27" t="n"/>
      <c r="L8" s="16">
        <f>IFERROR('Raw OI Data'!H11/'Raw TV Data'!H11,0)</f>
        <v/>
      </c>
      <c r="M8" s="16">
        <f>IFERROR('Raw OI Data'!H12/'Raw TV Data'!H12,0)</f>
        <v/>
      </c>
      <c r="N8" s="16">
        <f>IFERROR('Raw OI Data'!H13/'Raw TV Data'!H13,0)</f>
        <v/>
      </c>
      <c r="O8" s="16">
        <f>IFERROR('Raw OI Data'!H14/'Raw TV Data'!H14,0)</f>
        <v/>
      </c>
      <c r="P8" s="27" t="n"/>
      <c r="Q8" s="16">
        <f>IFERROR('Raw OI Data'!H15/'Raw TV Data'!H15,0)</f>
        <v/>
      </c>
      <c r="R8" s="16">
        <f>IFERROR('Raw OI Data'!H16/'Raw TV Data'!H16,0)</f>
        <v/>
      </c>
      <c r="S8" s="16">
        <f>IFERROR('Raw OI Data'!H17/'Raw TV Data'!H17,0)</f>
        <v/>
      </c>
      <c r="T8" s="16">
        <f>IFERROR('Raw OI Data'!H18/'Raw TV Data'!H18,0)</f>
        <v/>
      </c>
      <c r="U8" s="27" t="n"/>
      <c r="V8" s="16">
        <f>IFERROR('Raw OI Data'!H19/'Raw TV Data'!H19,0)</f>
        <v/>
      </c>
      <c r="W8" s="16">
        <f>IFERROR('Raw OI Data'!H20/'Raw TV Data'!H20,0)</f>
        <v/>
      </c>
      <c r="X8" s="16">
        <f>IFERROR('Raw OI Data'!H21/'Raw TV Data'!H21,0)</f>
        <v/>
      </c>
      <c r="Y8" s="16">
        <f>IFERROR('Raw OI Data'!H22/'Raw TV Data'!H22,0)</f>
        <v/>
      </c>
      <c r="Z8" s="27" t="n"/>
    </row>
    <row r="9" ht="14" customHeight="1">
      <c r="A9" s="25" t="inlineStr">
        <is>
          <t>Stk Call OI/TV</t>
        </is>
      </c>
      <c r="B9" s="18">
        <f>IFERROR('Raw OI Data'!K3/'Raw TV Data'!K3,0)</f>
        <v/>
      </c>
      <c r="C9" s="18">
        <f>IFERROR('Raw OI Data'!K4/'Raw TV Data'!K4,0)</f>
        <v/>
      </c>
      <c r="D9" s="18">
        <f>IFERROR('Raw OI Data'!K5/'Raw TV Data'!K5,0)</f>
        <v/>
      </c>
      <c r="E9" s="18">
        <f>IFERROR('Raw OI Data'!K6/'Raw TV Data'!K6,0)</f>
        <v/>
      </c>
      <c r="F9" s="26" t="n"/>
      <c r="G9" s="18">
        <f>IFERROR('Raw OI Data'!K7/'Raw TV Data'!K7,0)</f>
        <v/>
      </c>
      <c r="H9" s="18">
        <f>IFERROR('Raw OI Data'!K8/'Raw TV Data'!K8,0)</f>
        <v/>
      </c>
      <c r="I9" s="18">
        <f>IFERROR('Raw OI Data'!K9/'Raw TV Data'!K9,0)</f>
        <v/>
      </c>
      <c r="J9" s="18">
        <f>IFERROR('Raw OI Data'!K10/'Raw TV Data'!K10,0)</f>
        <v/>
      </c>
      <c r="K9" s="26" t="n"/>
      <c r="L9" s="18">
        <f>IFERROR('Raw OI Data'!K11/'Raw TV Data'!K11,0)</f>
        <v/>
      </c>
      <c r="M9" s="18">
        <f>IFERROR('Raw OI Data'!K12/'Raw TV Data'!K12,0)</f>
        <v/>
      </c>
      <c r="N9" s="18">
        <f>IFERROR('Raw OI Data'!K13/'Raw TV Data'!K13,0)</f>
        <v/>
      </c>
      <c r="O9" s="18">
        <f>IFERROR('Raw OI Data'!K14/'Raw TV Data'!K14,0)</f>
        <v/>
      </c>
      <c r="P9" s="26" t="n"/>
      <c r="Q9" s="18">
        <f>IFERROR('Raw OI Data'!K15/'Raw TV Data'!K15,0)</f>
        <v/>
      </c>
      <c r="R9" s="18">
        <f>IFERROR('Raw OI Data'!K16/'Raw TV Data'!K16,0)</f>
        <v/>
      </c>
      <c r="S9" s="18">
        <f>IFERROR('Raw OI Data'!K17/'Raw TV Data'!K17,0)</f>
        <v/>
      </c>
      <c r="T9" s="18">
        <f>IFERROR('Raw OI Data'!K18/'Raw TV Data'!K18,0)</f>
        <v/>
      </c>
      <c r="U9" s="26" t="n"/>
      <c r="V9" s="18">
        <f>IFERROR('Raw OI Data'!K19/'Raw TV Data'!K19,0)</f>
        <v/>
      </c>
      <c r="W9" s="18">
        <f>IFERROR('Raw OI Data'!K20/'Raw TV Data'!K20,0)</f>
        <v/>
      </c>
      <c r="X9" s="18">
        <f>IFERROR('Raw OI Data'!K21/'Raw TV Data'!K21,0)</f>
        <v/>
      </c>
      <c r="Y9" s="18">
        <f>IFERROR('Raw OI Data'!K22/'Raw TV Data'!K22,0)</f>
        <v/>
      </c>
      <c r="Z9" s="26" t="n"/>
    </row>
    <row r="10" ht="14" customHeight="1">
      <c r="A10" s="25" t="inlineStr">
        <is>
          <t>Stk Put OI/TV</t>
        </is>
      </c>
      <c r="B10" s="16">
        <f>IFERROR('Raw OI Data'!L3/'Raw TV Data'!L3,0)</f>
        <v/>
      </c>
      <c r="C10" s="16">
        <f>IFERROR('Raw OI Data'!L4/'Raw TV Data'!L4,0)</f>
        <v/>
      </c>
      <c r="D10" s="16">
        <f>IFERROR('Raw OI Data'!L5/'Raw TV Data'!L5,0)</f>
        <v/>
      </c>
      <c r="E10" s="16">
        <f>IFERROR('Raw OI Data'!L6/'Raw TV Data'!L6,0)</f>
        <v/>
      </c>
      <c r="F10" s="27" t="n"/>
      <c r="G10" s="16">
        <f>IFERROR('Raw OI Data'!L7/'Raw TV Data'!L7,0)</f>
        <v/>
      </c>
      <c r="H10" s="16">
        <f>IFERROR('Raw OI Data'!L8/'Raw TV Data'!L8,0)</f>
        <v/>
      </c>
      <c r="I10" s="16">
        <f>IFERROR('Raw OI Data'!L9/'Raw TV Data'!L9,0)</f>
        <v/>
      </c>
      <c r="J10" s="16">
        <f>IFERROR('Raw OI Data'!L10/'Raw TV Data'!L10,0)</f>
        <v/>
      </c>
      <c r="K10" s="27" t="n"/>
      <c r="L10" s="16">
        <f>IFERROR('Raw OI Data'!L11/'Raw TV Data'!L11,0)</f>
        <v/>
      </c>
      <c r="M10" s="16">
        <f>IFERROR('Raw OI Data'!L12/'Raw TV Data'!L12,0)</f>
        <v/>
      </c>
      <c r="N10" s="16">
        <f>IFERROR('Raw OI Data'!L13/'Raw TV Data'!L13,0)</f>
        <v/>
      </c>
      <c r="O10" s="16">
        <f>IFERROR('Raw OI Data'!L14/'Raw TV Data'!L14,0)</f>
        <v/>
      </c>
      <c r="P10" s="27" t="n"/>
      <c r="Q10" s="16">
        <f>IFERROR('Raw OI Data'!L15/'Raw TV Data'!L15,0)</f>
        <v/>
      </c>
      <c r="R10" s="16">
        <f>IFERROR('Raw OI Data'!L16/'Raw TV Data'!L16,0)</f>
        <v/>
      </c>
      <c r="S10" s="16">
        <f>IFERROR('Raw OI Data'!L17/'Raw TV Data'!L17,0)</f>
        <v/>
      </c>
      <c r="T10" s="16">
        <f>IFERROR('Raw OI Data'!L18/'Raw TV Data'!L18,0)</f>
        <v/>
      </c>
      <c r="U10" s="27" t="n"/>
      <c r="V10" s="16">
        <f>IFERROR('Raw OI Data'!L19/'Raw TV Data'!L19,0)</f>
        <v/>
      </c>
      <c r="W10" s="16">
        <f>IFERROR('Raw OI Data'!L20/'Raw TV Data'!L20,0)</f>
        <v/>
      </c>
      <c r="X10" s="16">
        <f>IFERROR('Raw OI Data'!L21/'Raw TV Data'!L21,0)</f>
        <v/>
      </c>
      <c r="Y10" s="16">
        <f>IFERROR('Raw OI Data'!L22/'Raw TV Data'!L22,0)</f>
        <v/>
      </c>
      <c r="Z10" s="27" t="n"/>
    </row>
    <row r="11" ht="14" customHeight="1">
      <c r="A11" s="25" t="inlineStr">
        <is>
          <t>Total OI/TV</t>
        </is>
      </c>
      <c r="B11" s="18">
        <f>IFERROR('Raw OI Data'!O3/'Raw TV Data'!O3,0)</f>
        <v/>
      </c>
      <c r="C11" s="18">
        <f>IFERROR('Raw OI Data'!O4/'Raw TV Data'!O4,0)</f>
        <v/>
      </c>
      <c r="D11" s="18">
        <f>IFERROR('Raw OI Data'!O5/'Raw TV Data'!O5,0)</f>
        <v/>
      </c>
      <c r="E11" s="18">
        <f>IFERROR('Raw OI Data'!O6/'Raw TV Data'!O6,0)</f>
        <v/>
      </c>
      <c r="F11" s="26" t="n"/>
      <c r="G11" s="18">
        <f>IFERROR('Raw OI Data'!O7/'Raw TV Data'!O7,0)</f>
        <v/>
      </c>
      <c r="H11" s="18">
        <f>IFERROR('Raw OI Data'!O8/'Raw TV Data'!O8,0)</f>
        <v/>
      </c>
      <c r="I11" s="18">
        <f>IFERROR('Raw OI Data'!O9/'Raw TV Data'!O9,0)</f>
        <v/>
      </c>
      <c r="J11" s="18">
        <f>IFERROR('Raw OI Data'!O10/'Raw TV Data'!O10,0)</f>
        <v/>
      </c>
      <c r="K11" s="26" t="n"/>
      <c r="L11" s="18">
        <f>IFERROR('Raw OI Data'!O11/'Raw TV Data'!O11,0)</f>
        <v/>
      </c>
      <c r="M11" s="18">
        <f>IFERROR('Raw OI Data'!O12/'Raw TV Data'!O12,0)</f>
        <v/>
      </c>
      <c r="N11" s="18">
        <f>IFERROR('Raw OI Data'!O13/'Raw TV Data'!O13,0)</f>
        <v/>
      </c>
      <c r="O11" s="18">
        <f>IFERROR('Raw OI Data'!O14/'Raw TV Data'!O14,0)</f>
        <v/>
      </c>
      <c r="P11" s="26" t="n"/>
      <c r="Q11" s="18">
        <f>IFERROR('Raw OI Data'!O15/'Raw TV Data'!O15,0)</f>
        <v/>
      </c>
      <c r="R11" s="18">
        <f>IFERROR('Raw OI Data'!O16/'Raw TV Data'!O16,0)</f>
        <v/>
      </c>
      <c r="S11" s="18">
        <f>IFERROR('Raw OI Data'!O17/'Raw TV Data'!O17,0)</f>
        <v/>
      </c>
      <c r="T11" s="18">
        <f>IFERROR('Raw OI Data'!O18/'Raw TV Data'!O18,0)</f>
        <v/>
      </c>
      <c r="U11" s="26" t="n"/>
      <c r="V11" s="18">
        <f>IFERROR('Raw OI Data'!O19/'Raw TV Data'!O19,0)</f>
        <v/>
      </c>
      <c r="W11" s="18">
        <f>IFERROR('Raw OI Data'!O20/'Raw TV Data'!O20,0)</f>
        <v/>
      </c>
      <c r="X11" s="18">
        <f>IFERROR('Raw OI Data'!O21/'Raw TV Data'!O21,0)</f>
        <v/>
      </c>
      <c r="Y11" s="18">
        <f>IFERROR('Raw OI Data'!O22/'Raw TV Data'!O22,0)</f>
        <v/>
      </c>
      <c r="Z11" s="26" t="n"/>
    </row>
    <row r="12" ht="16" customHeight="1">
      <c r="A12" s="14" t="inlineStr">
        <is>
          <t>NET CONVICTION  (OI direction vs Volume direction — aligned = strong signal)</t>
        </is>
      </c>
    </row>
    <row r="13" ht="14" customHeight="1">
      <c r="A13" s="25" t="inlineStr">
        <is>
          <t>Net Fut Idx OI</t>
        </is>
      </c>
      <c r="B13" s="28">
        <f>'Raw OI Data'!C3-'Raw OI Data'!D3</f>
        <v/>
      </c>
      <c r="C13" s="28">
        <f>'Raw OI Data'!C4-'Raw OI Data'!D4</f>
        <v/>
      </c>
      <c r="D13" s="28">
        <f>'Raw OI Data'!C5-'Raw OI Data'!D5</f>
        <v/>
      </c>
      <c r="E13" s="28">
        <f>'Raw OI Data'!C6-'Raw OI Data'!D6</f>
        <v/>
      </c>
      <c r="F13" s="26" t="n"/>
      <c r="G13" s="28">
        <f>'Raw OI Data'!C7-'Raw OI Data'!D7</f>
        <v/>
      </c>
      <c r="H13" s="28">
        <f>'Raw OI Data'!C8-'Raw OI Data'!D8</f>
        <v/>
      </c>
      <c r="I13" s="28">
        <f>'Raw OI Data'!C9-'Raw OI Data'!D9</f>
        <v/>
      </c>
      <c r="J13" s="28">
        <f>'Raw OI Data'!C10-'Raw OI Data'!D10</f>
        <v/>
      </c>
      <c r="K13" s="26" t="n"/>
      <c r="L13" s="28">
        <f>'Raw OI Data'!C11-'Raw OI Data'!D11</f>
        <v/>
      </c>
      <c r="M13" s="28">
        <f>'Raw OI Data'!C12-'Raw OI Data'!D12</f>
        <v/>
      </c>
      <c r="N13" s="28">
        <f>'Raw OI Data'!C13-'Raw OI Data'!D13</f>
        <v/>
      </c>
      <c r="O13" s="28">
        <f>'Raw OI Data'!C14-'Raw OI Data'!D14</f>
        <v/>
      </c>
      <c r="P13" s="26" t="n"/>
      <c r="Q13" s="28">
        <f>'Raw OI Data'!C15-'Raw OI Data'!D15</f>
        <v/>
      </c>
      <c r="R13" s="28">
        <f>'Raw OI Data'!C16-'Raw OI Data'!D16</f>
        <v/>
      </c>
      <c r="S13" s="28">
        <f>'Raw OI Data'!C17-'Raw OI Data'!D17</f>
        <v/>
      </c>
      <c r="T13" s="28">
        <f>'Raw OI Data'!C18-'Raw OI Data'!D18</f>
        <v/>
      </c>
      <c r="U13" s="26" t="n"/>
      <c r="V13" s="28">
        <f>'Raw OI Data'!C19-'Raw OI Data'!D19</f>
        <v/>
      </c>
      <c r="W13" s="28">
        <f>'Raw OI Data'!C20-'Raw OI Data'!D20</f>
        <v/>
      </c>
      <c r="X13" s="28">
        <f>'Raw OI Data'!C21-'Raw OI Data'!D21</f>
        <v/>
      </c>
      <c r="Y13" s="28">
        <f>'Raw OI Data'!C22-'Raw OI Data'!D22</f>
        <v/>
      </c>
      <c r="Z13" s="26" t="n"/>
    </row>
    <row r="14" ht="14" customHeight="1">
      <c r="A14" s="25" t="inlineStr">
        <is>
          <t>Net Fut Idx Vol</t>
        </is>
      </c>
      <c r="B14" s="32">
        <f>'Raw TV Data'!C3-'Raw TV Data'!D3</f>
        <v/>
      </c>
      <c r="C14" s="32">
        <f>'Raw TV Data'!C4-'Raw TV Data'!D4</f>
        <v/>
      </c>
      <c r="D14" s="32">
        <f>'Raw TV Data'!C5-'Raw TV Data'!D5</f>
        <v/>
      </c>
      <c r="E14" s="32">
        <f>'Raw TV Data'!C6-'Raw TV Data'!D6</f>
        <v/>
      </c>
      <c r="F14" s="27" t="n"/>
      <c r="G14" s="32">
        <f>'Raw TV Data'!C7-'Raw TV Data'!D7</f>
        <v/>
      </c>
      <c r="H14" s="32">
        <f>'Raw TV Data'!C8-'Raw TV Data'!D8</f>
        <v/>
      </c>
      <c r="I14" s="32">
        <f>'Raw TV Data'!C9-'Raw TV Data'!D9</f>
        <v/>
      </c>
      <c r="J14" s="32">
        <f>'Raw TV Data'!C10-'Raw TV Data'!D10</f>
        <v/>
      </c>
      <c r="K14" s="27" t="n"/>
      <c r="L14" s="32">
        <f>'Raw TV Data'!C11-'Raw TV Data'!D11</f>
        <v/>
      </c>
      <c r="M14" s="32">
        <f>'Raw TV Data'!C12-'Raw TV Data'!D12</f>
        <v/>
      </c>
      <c r="N14" s="32">
        <f>'Raw TV Data'!C13-'Raw TV Data'!D13</f>
        <v/>
      </c>
      <c r="O14" s="32">
        <f>'Raw TV Data'!C14-'Raw TV Data'!D14</f>
        <v/>
      </c>
      <c r="P14" s="27" t="n"/>
      <c r="Q14" s="32">
        <f>'Raw TV Data'!C15-'Raw TV Data'!D15</f>
        <v/>
      </c>
      <c r="R14" s="32">
        <f>'Raw TV Data'!C16-'Raw TV Data'!D16</f>
        <v/>
      </c>
      <c r="S14" s="32">
        <f>'Raw TV Data'!C17-'Raw TV Data'!D17</f>
        <v/>
      </c>
      <c r="T14" s="32">
        <f>'Raw TV Data'!C18-'Raw TV Data'!D18</f>
        <v/>
      </c>
      <c r="U14" s="27" t="n"/>
      <c r="V14" s="32">
        <f>'Raw TV Data'!C19-'Raw TV Data'!D19</f>
        <v/>
      </c>
      <c r="W14" s="32">
        <f>'Raw TV Data'!C20-'Raw TV Data'!D20</f>
        <v/>
      </c>
      <c r="X14" s="32">
        <f>'Raw TV Data'!C21-'Raw TV Data'!D21</f>
        <v/>
      </c>
      <c r="Y14" s="32">
        <f>'Raw TV Data'!C22-'Raw TV Data'!D22</f>
        <v/>
      </c>
      <c r="Z14" s="27" t="n"/>
    </row>
    <row r="15" ht="14" customHeight="1">
      <c r="A15" s="25" t="inlineStr">
        <is>
          <t>Net Idx Call OI</t>
        </is>
      </c>
      <c r="B15" s="28">
        <f>'Raw OI Data'!G3-'Raw OI Data'!I3</f>
        <v/>
      </c>
      <c r="C15" s="28">
        <f>'Raw OI Data'!G4-'Raw OI Data'!I4</f>
        <v/>
      </c>
      <c r="D15" s="28">
        <f>'Raw OI Data'!G5-'Raw OI Data'!I5</f>
        <v/>
      </c>
      <c r="E15" s="28">
        <f>'Raw OI Data'!G6-'Raw OI Data'!I6</f>
        <v/>
      </c>
      <c r="F15" s="26" t="n"/>
      <c r="G15" s="28">
        <f>'Raw OI Data'!G7-'Raw OI Data'!I7</f>
        <v/>
      </c>
      <c r="H15" s="28">
        <f>'Raw OI Data'!G8-'Raw OI Data'!I8</f>
        <v/>
      </c>
      <c r="I15" s="28">
        <f>'Raw OI Data'!G9-'Raw OI Data'!I9</f>
        <v/>
      </c>
      <c r="J15" s="28">
        <f>'Raw OI Data'!G10-'Raw OI Data'!I10</f>
        <v/>
      </c>
      <c r="K15" s="26" t="n"/>
      <c r="L15" s="28">
        <f>'Raw OI Data'!G11-'Raw OI Data'!I11</f>
        <v/>
      </c>
      <c r="M15" s="28">
        <f>'Raw OI Data'!G12-'Raw OI Data'!I12</f>
        <v/>
      </c>
      <c r="N15" s="28">
        <f>'Raw OI Data'!G13-'Raw OI Data'!I13</f>
        <v/>
      </c>
      <c r="O15" s="28">
        <f>'Raw OI Data'!G14-'Raw OI Data'!I14</f>
        <v/>
      </c>
      <c r="P15" s="26" t="n"/>
      <c r="Q15" s="28">
        <f>'Raw OI Data'!G15-'Raw OI Data'!I15</f>
        <v/>
      </c>
      <c r="R15" s="28">
        <f>'Raw OI Data'!G16-'Raw OI Data'!I16</f>
        <v/>
      </c>
      <c r="S15" s="28">
        <f>'Raw OI Data'!G17-'Raw OI Data'!I17</f>
        <v/>
      </c>
      <c r="T15" s="28">
        <f>'Raw OI Data'!G18-'Raw OI Data'!I18</f>
        <v/>
      </c>
      <c r="U15" s="26" t="n"/>
      <c r="V15" s="28">
        <f>'Raw OI Data'!G19-'Raw OI Data'!I19</f>
        <v/>
      </c>
      <c r="W15" s="28">
        <f>'Raw OI Data'!G20-'Raw OI Data'!I20</f>
        <v/>
      </c>
      <c r="X15" s="28">
        <f>'Raw OI Data'!G21-'Raw OI Data'!I21</f>
        <v/>
      </c>
      <c r="Y15" s="28">
        <f>'Raw OI Data'!G22-'Raw OI Data'!I22</f>
        <v/>
      </c>
      <c r="Z15" s="26" t="n"/>
    </row>
    <row r="16" ht="14" customHeight="1">
      <c r="A16" s="25" t="inlineStr">
        <is>
          <t>Net Idx Call Vol</t>
        </is>
      </c>
      <c r="B16" s="32">
        <f>'Raw TV Data'!G3-'Raw TV Data'!I3</f>
        <v/>
      </c>
      <c r="C16" s="32">
        <f>'Raw TV Data'!G4-'Raw TV Data'!I4</f>
        <v/>
      </c>
      <c r="D16" s="32">
        <f>'Raw TV Data'!G5-'Raw TV Data'!I5</f>
        <v/>
      </c>
      <c r="E16" s="32">
        <f>'Raw TV Data'!G6-'Raw TV Data'!I6</f>
        <v/>
      </c>
      <c r="F16" s="27" t="n"/>
      <c r="G16" s="32">
        <f>'Raw TV Data'!G7-'Raw TV Data'!I7</f>
        <v/>
      </c>
      <c r="H16" s="32">
        <f>'Raw TV Data'!G8-'Raw TV Data'!I8</f>
        <v/>
      </c>
      <c r="I16" s="32">
        <f>'Raw TV Data'!G9-'Raw TV Data'!I9</f>
        <v/>
      </c>
      <c r="J16" s="32">
        <f>'Raw TV Data'!G10-'Raw TV Data'!I10</f>
        <v/>
      </c>
      <c r="K16" s="27" t="n"/>
      <c r="L16" s="32">
        <f>'Raw TV Data'!G11-'Raw TV Data'!I11</f>
        <v/>
      </c>
      <c r="M16" s="32">
        <f>'Raw TV Data'!G12-'Raw TV Data'!I12</f>
        <v/>
      </c>
      <c r="N16" s="32">
        <f>'Raw TV Data'!G13-'Raw TV Data'!I13</f>
        <v/>
      </c>
      <c r="O16" s="32">
        <f>'Raw TV Data'!G14-'Raw TV Data'!I14</f>
        <v/>
      </c>
      <c r="P16" s="27" t="n"/>
      <c r="Q16" s="32">
        <f>'Raw TV Data'!G15-'Raw TV Data'!I15</f>
        <v/>
      </c>
      <c r="R16" s="32">
        <f>'Raw TV Data'!G16-'Raw TV Data'!I16</f>
        <v/>
      </c>
      <c r="S16" s="32">
        <f>'Raw TV Data'!G17-'Raw TV Data'!I17</f>
        <v/>
      </c>
      <c r="T16" s="32">
        <f>'Raw TV Data'!G18-'Raw TV Data'!I18</f>
        <v/>
      </c>
      <c r="U16" s="27" t="n"/>
      <c r="V16" s="32">
        <f>'Raw TV Data'!G19-'Raw TV Data'!I19</f>
        <v/>
      </c>
      <c r="W16" s="32">
        <f>'Raw TV Data'!G20-'Raw TV Data'!I20</f>
        <v/>
      </c>
      <c r="X16" s="32">
        <f>'Raw TV Data'!G21-'Raw TV Data'!I21</f>
        <v/>
      </c>
      <c r="Y16" s="32">
        <f>'Raw TV Data'!G22-'Raw TV Data'!I22</f>
        <v/>
      </c>
      <c r="Z16" s="27" t="n"/>
    </row>
    <row r="17" ht="14" customHeight="1">
      <c r="A17" s="25" t="inlineStr">
        <is>
          <t>Net Idx Put OI</t>
        </is>
      </c>
      <c r="B17" s="28">
        <f>'Raw OI Data'!H3-'Raw OI Data'!J3</f>
        <v/>
      </c>
      <c r="C17" s="28">
        <f>'Raw OI Data'!H4-'Raw OI Data'!J4</f>
        <v/>
      </c>
      <c r="D17" s="28">
        <f>'Raw OI Data'!H5-'Raw OI Data'!J5</f>
        <v/>
      </c>
      <c r="E17" s="28">
        <f>'Raw OI Data'!H6-'Raw OI Data'!J6</f>
        <v/>
      </c>
      <c r="F17" s="26" t="n"/>
      <c r="G17" s="28">
        <f>'Raw OI Data'!H7-'Raw OI Data'!J7</f>
        <v/>
      </c>
      <c r="H17" s="28">
        <f>'Raw OI Data'!H8-'Raw OI Data'!J8</f>
        <v/>
      </c>
      <c r="I17" s="28">
        <f>'Raw OI Data'!H9-'Raw OI Data'!J9</f>
        <v/>
      </c>
      <c r="J17" s="28">
        <f>'Raw OI Data'!H10-'Raw OI Data'!J10</f>
        <v/>
      </c>
      <c r="K17" s="26" t="n"/>
      <c r="L17" s="28">
        <f>'Raw OI Data'!H11-'Raw OI Data'!J11</f>
        <v/>
      </c>
      <c r="M17" s="28">
        <f>'Raw OI Data'!H12-'Raw OI Data'!J12</f>
        <v/>
      </c>
      <c r="N17" s="28">
        <f>'Raw OI Data'!H13-'Raw OI Data'!J13</f>
        <v/>
      </c>
      <c r="O17" s="28">
        <f>'Raw OI Data'!H14-'Raw OI Data'!J14</f>
        <v/>
      </c>
      <c r="P17" s="26" t="n"/>
      <c r="Q17" s="28">
        <f>'Raw OI Data'!H15-'Raw OI Data'!J15</f>
        <v/>
      </c>
      <c r="R17" s="28">
        <f>'Raw OI Data'!H16-'Raw OI Data'!J16</f>
        <v/>
      </c>
      <c r="S17" s="28">
        <f>'Raw OI Data'!H17-'Raw OI Data'!J17</f>
        <v/>
      </c>
      <c r="T17" s="28">
        <f>'Raw OI Data'!H18-'Raw OI Data'!J18</f>
        <v/>
      </c>
      <c r="U17" s="26" t="n"/>
      <c r="V17" s="28">
        <f>'Raw OI Data'!H19-'Raw OI Data'!J19</f>
        <v/>
      </c>
      <c r="W17" s="28">
        <f>'Raw OI Data'!H20-'Raw OI Data'!J20</f>
        <v/>
      </c>
      <c r="X17" s="28">
        <f>'Raw OI Data'!H21-'Raw OI Data'!J21</f>
        <v/>
      </c>
      <c r="Y17" s="28">
        <f>'Raw OI Data'!H22-'Raw OI Data'!J22</f>
        <v/>
      </c>
      <c r="Z17" s="26" t="n"/>
    </row>
    <row r="18" ht="14" customHeight="1">
      <c r="A18" s="25" t="inlineStr">
        <is>
          <t>Net Idx Put Vol</t>
        </is>
      </c>
      <c r="B18" s="32">
        <f>'Raw TV Data'!H3-'Raw TV Data'!J3</f>
        <v/>
      </c>
      <c r="C18" s="32">
        <f>'Raw TV Data'!H4-'Raw TV Data'!J4</f>
        <v/>
      </c>
      <c r="D18" s="32">
        <f>'Raw TV Data'!H5-'Raw TV Data'!J5</f>
        <v/>
      </c>
      <c r="E18" s="32">
        <f>'Raw TV Data'!H6-'Raw TV Data'!J6</f>
        <v/>
      </c>
      <c r="F18" s="27" t="n"/>
      <c r="G18" s="32">
        <f>'Raw TV Data'!H7-'Raw TV Data'!J7</f>
        <v/>
      </c>
      <c r="H18" s="32">
        <f>'Raw TV Data'!H8-'Raw TV Data'!J8</f>
        <v/>
      </c>
      <c r="I18" s="32">
        <f>'Raw TV Data'!H9-'Raw TV Data'!J9</f>
        <v/>
      </c>
      <c r="J18" s="32">
        <f>'Raw TV Data'!H10-'Raw TV Data'!J10</f>
        <v/>
      </c>
      <c r="K18" s="27" t="n"/>
      <c r="L18" s="32">
        <f>'Raw TV Data'!H11-'Raw TV Data'!J11</f>
        <v/>
      </c>
      <c r="M18" s="32">
        <f>'Raw TV Data'!H12-'Raw TV Data'!J12</f>
        <v/>
      </c>
      <c r="N18" s="32">
        <f>'Raw TV Data'!H13-'Raw TV Data'!J13</f>
        <v/>
      </c>
      <c r="O18" s="32">
        <f>'Raw TV Data'!H14-'Raw TV Data'!J14</f>
        <v/>
      </c>
      <c r="P18" s="27" t="n"/>
      <c r="Q18" s="32">
        <f>'Raw TV Data'!H15-'Raw TV Data'!J15</f>
        <v/>
      </c>
      <c r="R18" s="32">
        <f>'Raw TV Data'!H16-'Raw TV Data'!J16</f>
        <v/>
      </c>
      <c r="S18" s="32">
        <f>'Raw TV Data'!H17-'Raw TV Data'!J17</f>
        <v/>
      </c>
      <c r="T18" s="32">
        <f>'Raw TV Data'!H18-'Raw TV Data'!J18</f>
        <v/>
      </c>
      <c r="U18" s="27" t="n"/>
      <c r="V18" s="32">
        <f>'Raw TV Data'!H19-'Raw TV Data'!J19</f>
        <v/>
      </c>
      <c r="W18" s="32">
        <f>'Raw TV Data'!H20-'Raw TV Data'!J20</f>
        <v/>
      </c>
      <c r="X18" s="32">
        <f>'Raw TV Data'!H21-'Raw TV Data'!J21</f>
        <v/>
      </c>
      <c r="Y18" s="32">
        <f>'Raw TV Data'!H22-'Raw TV Data'!J22</f>
        <v/>
      </c>
      <c r="Z18" s="27" t="n"/>
    </row>
  </sheetData>
  <mergeCells count="8">
    <mergeCell ref="A1:Z1"/>
    <mergeCell ref="V2:Y2"/>
    <mergeCell ref="L2:O2"/>
    <mergeCell ref="A4:Z4"/>
    <mergeCell ref="G2:J2"/>
    <mergeCell ref="A12:Z12"/>
    <mergeCell ref="B2:E2"/>
    <mergeCell ref="Q2:T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2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" customWidth="1" min="21" max="21"/>
  </cols>
  <sheetData>
    <row r="1" ht="22" customHeight="1">
      <c r="A1" s="1" t="inlineStr">
        <is>
          <t>NSE FAO — Day-on-Day OI &amp; Volume Changes</t>
        </is>
      </c>
    </row>
    <row r="2" ht="28" customHeight="1">
      <c r="A2" s="19" t="inlineStr">
        <is>
          <t>Metric</t>
        </is>
      </c>
      <c r="B2" s="36" t="inlineStr">
        <is>
          <t>Jun 29 2026 → Jun 30 2026</t>
        </is>
      </c>
      <c r="C2" s="20" t="n"/>
      <c r="D2" s="20" t="n"/>
      <c r="E2" s="20" t="n"/>
      <c r="F2" s="20" t="n"/>
      <c r="G2" s="36" t="inlineStr">
        <is>
          <t>Jun 30 2026 → Jul 01 2026</t>
        </is>
      </c>
      <c r="H2" s="20" t="n"/>
      <c r="I2" s="20" t="n"/>
      <c r="J2" s="20" t="n"/>
      <c r="K2" s="20" t="n"/>
      <c r="L2" s="36" t="inlineStr">
        <is>
          <t>Jul 01 2026 → Jul 02 2026</t>
        </is>
      </c>
      <c r="M2" s="20" t="n"/>
      <c r="N2" s="20" t="n"/>
      <c r="O2" s="20" t="n"/>
      <c r="P2" s="20" t="n"/>
      <c r="Q2" s="36" t="inlineStr">
        <is>
          <t>Jul 02 2026 → Jul 03 2026</t>
        </is>
      </c>
      <c r="R2" s="20" t="n"/>
      <c r="S2" s="20" t="n"/>
      <c r="T2" s="20" t="n"/>
      <c r="U2" s="20" t="n"/>
    </row>
    <row r="3" ht="16" customHeight="1">
      <c r="A3" s="22" t="inlineStr"/>
      <c r="B3" s="23" t="inlineStr">
        <is>
          <t>Client</t>
        </is>
      </c>
      <c r="C3" s="23" t="inlineStr">
        <is>
          <t>DII</t>
        </is>
      </c>
      <c r="D3" s="23" t="inlineStr">
        <is>
          <t>FII</t>
        </is>
      </c>
      <c r="E3" s="23" t="inlineStr">
        <is>
          <t>Pro</t>
        </is>
      </c>
      <c r="F3" s="24" t="n"/>
      <c r="G3" s="23" t="inlineStr">
        <is>
          <t>Client</t>
        </is>
      </c>
      <c r="H3" s="23" t="inlineStr">
        <is>
          <t>DII</t>
        </is>
      </c>
      <c r="I3" s="23" t="inlineStr">
        <is>
          <t>FII</t>
        </is>
      </c>
      <c r="J3" s="23" t="inlineStr">
        <is>
          <t>Pro</t>
        </is>
      </c>
      <c r="K3" s="24" t="n"/>
      <c r="L3" s="23" t="inlineStr">
        <is>
          <t>Client</t>
        </is>
      </c>
      <c r="M3" s="23" t="inlineStr">
        <is>
          <t>DII</t>
        </is>
      </c>
      <c r="N3" s="23" t="inlineStr">
        <is>
          <t>FII</t>
        </is>
      </c>
      <c r="O3" s="23" t="inlineStr">
        <is>
          <t>Pro</t>
        </is>
      </c>
      <c r="P3" s="24" t="n"/>
      <c r="Q3" s="23" t="inlineStr">
        <is>
          <t>Client</t>
        </is>
      </c>
      <c r="R3" s="23" t="inlineStr">
        <is>
          <t>DII</t>
        </is>
      </c>
      <c r="S3" s="23" t="inlineStr">
        <is>
          <t>FII</t>
        </is>
      </c>
      <c r="T3" s="23" t="inlineStr">
        <is>
          <t>Pro</t>
        </is>
      </c>
      <c r="U3" s="24" t="n"/>
    </row>
    <row r="4" ht="16" customHeight="1">
      <c r="A4" s="14" t="inlineStr">
        <is>
          <t>OI CHANGES  (current session − previous session)</t>
        </is>
      </c>
    </row>
    <row r="5" ht="14" customHeight="1">
      <c r="A5" s="25" t="inlineStr">
        <is>
          <t>Δ Fut Index Long</t>
        </is>
      </c>
      <c r="B5" s="28">
        <f>'Raw OI Data'!C7-'Raw OI Data'!C3</f>
        <v/>
      </c>
      <c r="C5" s="28">
        <f>'Raw OI Data'!C8-'Raw OI Data'!C4</f>
        <v/>
      </c>
      <c r="D5" s="28">
        <f>'Raw OI Data'!C9-'Raw OI Data'!C5</f>
        <v/>
      </c>
      <c r="E5" s="28">
        <f>'Raw OI Data'!C10-'Raw OI Data'!C6</f>
        <v/>
      </c>
      <c r="F5" s="26" t="n"/>
      <c r="G5" s="28">
        <f>'Raw OI Data'!C11-'Raw OI Data'!C7</f>
        <v/>
      </c>
      <c r="H5" s="28">
        <f>'Raw OI Data'!C12-'Raw OI Data'!C8</f>
        <v/>
      </c>
      <c r="I5" s="28">
        <f>'Raw OI Data'!C13-'Raw OI Data'!C9</f>
        <v/>
      </c>
      <c r="J5" s="28">
        <f>'Raw OI Data'!C14-'Raw OI Data'!C10</f>
        <v/>
      </c>
      <c r="K5" s="26" t="n"/>
      <c r="L5" s="28">
        <f>'Raw OI Data'!C15-'Raw OI Data'!C11</f>
        <v/>
      </c>
      <c r="M5" s="28">
        <f>'Raw OI Data'!C16-'Raw OI Data'!C12</f>
        <v/>
      </c>
      <c r="N5" s="28">
        <f>'Raw OI Data'!C17-'Raw OI Data'!C13</f>
        <v/>
      </c>
      <c r="O5" s="28">
        <f>'Raw OI Data'!C18-'Raw OI Data'!C14</f>
        <v/>
      </c>
      <c r="P5" s="26" t="n"/>
      <c r="Q5" s="28">
        <f>'Raw OI Data'!C19-'Raw OI Data'!C15</f>
        <v/>
      </c>
      <c r="R5" s="28">
        <f>'Raw OI Data'!C20-'Raw OI Data'!C16</f>
        <v/>
      </c>
      <c r="S5" s="28">
        <f>'Raw OI Data'!C21-'Raw OI Data'!C17</f>
        <v/>
      </c>
      <c r="T5" s="28">
        <f>'Raw OI Data'!C22-'Raw OI Data'!C18</f>
        <v/>
      </c>
      <c r="U5" s="26" t="n"/>
    </row>
    <row r="6" ht="14" customHeight="1">
      <c r="A6" s="25" t="inlineStr">
        <is>
          <t>Δ Fut Index Short</t>
        </is>
      </c>
      <c r="B6" s="32">
        <f>'Raw OI Data'!D7-'Raw OI Data'!D3</f>
        <v/>
      </c>
      <c r="C6" s="32">
        <f>'Raw OI Data'!D8-'Raw OI Data'!D4</f>
        <v/>
      </c>
      <c r="D6" s="32">
        <f>'Raw OI Data'!D9-'Raw OI Data'!D5</f>
        <v/>
      </c>
      <c r="E6" s="32">
        <f>'Raw OI Data'!D10-'Raw OI Data'!D6</f>
        <v/>
      </c>
      <c r="F6" s="27" t="n"/>
      <c r="G6" s="32">
        <f>'Raw OI Data'!D11-'Raw OI Data'!D7</f>
        <v/>
      </c>
      <c r="H6" s="32">
        <f>'Raw OI Data'!D12-'Raw OI Data'!D8</f>
        <v/>
      </c>
      <c r="I6" s="32">
        <f>'Raw OI Data'!D13-'Raw OI Data'!D9</f>
        <v/>
      </c>
      <c r="J6" s="32">
        <f>'Raw OI Data'!D14-'Raw OI Data'!D10</f>
        <v/>
      </c>
      <c r="K6" s="27" t="n"/>
      <c r="L6" s="32">
        <f>'Raw OI Data'!D15-'Raw OI Data'!D11</f>
        <v/>
      </c>
      <c r="M6" s="32">
        <f>'Raw OI Data'!D16-'Raw OI Data'!D12</f>
        <v/>
      </c>
      <c r="N6" s="32">
        <f>'Raw OI Data'!D17-'Raw OI Data'!D13</f>
        <v/>
      </c>
      <c r="O6" s="32">
        <f>'Raw OI Data'!D18-'Raw OI Data'!D14</f>
        <v/>
      </c>
      <c r="P6" s="27" t="n"/>
      <c r="Q6" s="32">
        <f>'Raw OI Data'!D19-'Raw OI Data'!D15</f>
        <v/>
      </c>
      <c r="R6" s="32">
        <f>'Raw OI Data'!D20-'Raw OI Data'!D16</f>
        <v/>
      </c>
      <c r="S6" s="32">
        <f>'Raw OI Data'!D21-'Raw OI Data'!D17</f>
        <v/>
      </c>
      <c r="T6" s="32">
        <f>'Raw OI Data'!D22-'Raw OI Data'!D18</f>
        <v/>
      </c>
      <c r="U6" s="27" t="n"/>
    </row>
    <row r="7" ht="14" customHeight="1">
      <c r="A7" s="25" t="inlineStr">
        <is>
          <t>Δ Net Fut Index OI</t>
        </is>
      </c>
      <c r="B7" s="28">
        <f>('Raw OI Data'!C7-'Raw OI Data'!D7)-('Raw OI Data'!C3-'Raw OI Data'!D3)</f>
        <v/>
      </c>
      <c r="C7" s="28">
        <f>('Raw OI Data'!C8-'Raw OI Data'!D8)-('Raw OI Data'!C4-'Raw OI Data'!D4)</f>
        <v/>
      </c>
      <c r="D7" s="28">
        <f>('Raw OI Data'!C9-'Raw OI Data'!D9)-('Raw OI Data'!C5-'Raw OI Data'!D5)</f>
        <v/>
      </c>
      <c r="E7" s="28">
        <f>('Raw OI Data'!C10-'Raw OI Data'!D10)-('Raw OI Data'!C6-'Raw OI Data'!D6)</f>
        <v/>
      </c>
      <c r="F7" s="26" t="n"/>
      <c r="G7" s="28">
        <f>('Raw OI Data'!C11-'Raw OI Data'!D11)-('Raw OI Data'!C7-'Raw OI Data'!D7)</f>
        <v/>
      </c>
      <c r="H7" s="28">
        <f>('Raw OI Data'!C12-'Raw OI Data'!D12)-('Raw OI Data'!C8-'Raw OI Data'!D8)</f>
        <v/>
      </c>
      <c r="I7" s="28">
        <f>('Raw OI Data'!C13-'Raw OI Data'!D13)-('Raw OI Data'!C9-'Raw OI Data'!D9)</f>
        <v/>
      </c>
      <c r="J7" s="28">
        <f>('Raw OI Data'!C14-'Raw OI Data'!D14)-('Raw OI Data'!C10-'Raw OI Data'!D10)</f>
        <v/>
      </c>
      <c r="K7" s="26" t="n"/>
      <c r="L7" s="28">
        <f>('Raw OI Data'!C15-'Raw OI Data'!D15)-('Raw OI Data'!C11-'Raw OI Data'!D11)</f>
        <v/>
      </c>
      <c r="M7" s="28">
        <f>('Raw OI Data'!C16-'Raw OI Data'!D16)-('Raw OI Data'!C12-'Raw OI Data'!D12)</f>
        <v/>
      </c>
      <c r="N7" s="28">
        <f>('Raw OI Data'!C17-'Raw OI Data'!D17)-('Raw OI Data'!C13-'Raw OI Data'!D13)</f>
        <v/>
      </c>
      <c r="O7" s="28">
        <f>('Raw OI Data'!C18-'Raw OI Data'!D18)-('Raw OI Data'!C14-'Raw OI Data'!D14)</f>
        <v/>
      </c>
      <c r="P7" s="26" t="n"/>
      <c r="Q7" s="28">
        <f>('Raw OI Data'!C19-'Raw OI Data'!D19)-('Raw OI Data'!C15-'Raw OI Data'!D15)</f>
        <v/>
      </c>
      <c r="R7" s="28">
        <f>('Raw OI Data'!C20-'Raw OI Data'!D20)-('Raw OI Data'!C16-'Raw OI Data'!D16)</f>
        <v/>
      </c>
      <c r="S7" s="28">
        <f>('Raw OI Data'!C21-'Raw OI Data'!D21)-('Raw OI Data'!C17-'Raw OI Data'!D17)</f>
        <v/>
      </c>
      <c r="T7" s="28">
        <f>('Raw OI Data'!C22-'Raw OI Data'!D22)-('Raw OI Data'!C18-'Raw OI Data'!D18)</f>
        <v/>
      </c>
      <c r="U7" s="26" t="n"/>
    </row>
    <row r="8" ht="14" customHeight="1">
      <c r="A8" s="25" t="inlineStr">
        <is>
          <t>Δ Fut Stock Long</t>
        </is>
      </c>
      <c r="B8" s="32">
        <f>'Raw OI Data'!E7-'Raw OI Data'!E3</f>
        <v/>
      </c>
      <c r="C8" s="32">
        <f>'Raw OI Data'!E8-'Raw OI Data'!E4</f>
        <v/>
      </c>
      <c r="D8" s="32">
        <f>'Raw OI Data'!E9-'Raw OI Data'!E5</f>
        <v/>
      </c>
      <c r="E8" s="32">
        <f>'Raw OI Data'!E10-'Raw OI Data'!E6</f>
        <v/>
      </c>
      <c r="F8" s="27" t="n"/>
      <c r="G8" s="32">
        <f>'Raw OI Data'!E11-'Raw OI Data'!E7</f>
        <v/>
      </c>
      <c r="H8" s="32">
        <f>'Raw OI Data'!E12-'Raw OI Data'!E8</f>
        <v/>
      </c>
      <c r="I8" s="32">
        <f>'Raw OI Data'!E13-'Raw OI Data'!E9</f>
        <v/>
      </c>
      <c r="J8" s="32">
        <f>'Raw OI Data'!E14-'Raw OI Data'!E10</f>
        <v/>
      </c>
      <c r="K8" s="27" t="n"/>
      <c r="L8" s="32">
        <f>'Raw OI Data'!E15-'Raw OI Data'!E11</f>
        <v/>
      </c>
      <c r="M8" s="32">
        <f>'Raw OI Data'!E16-'Raw OI Data'!E12</f>
        <v/>
      </c>
      <c r="N8" s="32">
        <f>'Raw OI Data'!E17-'Raw OI Data'!E13</f>
        <v/>
      </c>
      <c r="O8" s="32">
        <f>'Raw OI Data'!E18-'Raw OI Data'!E14</f>
        <v/>
      </c>
      <c r="P8" s="27" t="n"/>
      <c r="Q8" s="32">
        <f>'Raw OI Data'!E19-'Raw OI Data'!E15</f>
        <v/>
      </c>
      <c r="R8" s="32">
        <f>'Raw OI Data'!E20-'Raw OI Data'!E16</f>
        <v/>
      </c>
      <c r="S8" s="32">
        <f>'Raw OI Data'!E21-'Raw OI Data'!E17</f>
        <v/>
      </c>
      <c r="T8" s="32">
        <f>'Raw OI Data'!E22-'Raw OI Data'!E18</f>
        <v/>
      </c>
      <c r="U8" s="27" t="n"/>
    </row>
    <row r="9" ht="14" customHeight="1">
      <c r="A9" s="25" t="inlineStr">
        <is>
          <t>Δ Fut Stock Short</t>
        </is>
      </c>
      <c r="B9" s="28">
        <f>'Raw OI Data'!F7-'Raw OI Data'!F3</f>
        <v/>
      </c>
      <c r="C9" s="28">
        <f>'Raw OI Data'!F8-'Raw OI Data'!F4</f>
        <v/>
      </c>
      <c r="D9" s="28">
        <f>'Raw OI Data'!F9-'Raw OI Data'!F5</f>
        <v/>
      </c>
      <c r="E9" s="28">
        <f>'Raw OI Data'!F10-'Raw OI Data'!F6</f>
        <v/>
      </c>
      <c r="F9" s="26" t="n"/>
      <c r="G9" s="28">
        <f>'Raw OI Data'!F11-'Raw OI Data'!F7</f>
        <v/>
      </c>
      <c r="H9" s="28">
        <f>'Raw OI Data'!F12-'Raw OI Data'!F8</f>
        <v/>
      </c>
      <c r="I9" s="28">
        <f>'Raw OI Data'!F13-'Raw OI Data'!F9</f>
        <v/>
      </c>
      <c r="J9" s="28">
        <f>'Raw OI Data'!F14-'Raw OI Data'!F10</f>
        <v/>
      </c>
      <c r="K9" s="26" t="n"/>
      <c r="L9" s="28">
        <f>'Raw OI Data'!F15-'Raw OI Data'!F11</f>
        <v/>
      </c>
      <c r="M9" s="28">
        <f>'Raw OI Data'!F16-'Raw OI Data'!F12</f>
        <v/>
      </c>
      <c r="N9" s="28">
        <f>'Raw OI Data'!F17-'Raw OI Data'!F13</f>
        <v/>
      </c>
      <c r="O9" s="28">
        <f>'Raw OI Data'!F18-'Raw OI Data'!F14</f>
        <v/>
      </c>
      <c r="P9" s="26" t="n"/>
      <c r="Q9" s="28">
        <f>'Raw OI Data'!F19-'Raw OI Data'!F15</f>
        <v/>
      </c>
      <c r="R9" s="28">
        <f>'Raw OI Data'!F20-'Raw OI Data'!F16</f>
        <v/>
      </c>
      <c r="S9" s="28">
        <f>'Raw OI Data'!F21-'Raw OI Data'!F17</f>
        <v/>
      </c>
      <c r="T9" s="28">
        <f>'Raw OI Data'!F22-'Raw OI Data'!F18</f>
        <v/>
      </c>
      <c r="U9" s="26" t="n"/>
    </row>
    <row r="10" ht="14" customHeight="1">
      <c r="A10" s="25" t="inlineStr">
        <is>
          <t>Δ Net Fut Stock OI</t>
        </is>
      </c>
      <c r="B10" s="32">
        <f>('Raw OI Data'!E7-'Raw OI Data'!F7)-('Raw OI Data'!E3-'Raw OI Data'!F3)</f>
        <v/>
      </c>
      <c r="C10" s="32">
        <f>('Raw OI Data'!E8-'Raw OI Data'!F8)-('Raw OI Data'!E4-'Raw OI Data'!F4)</f>
        <v/>
      </c>
      <c r="D10" s="32">
        <f>('Raw OI Data'!E9-'Raw OI Data'!F9)-('Raw OI Data'!E5-'Raw OI Data'!F5)</f>
        <v/>
      </c>
      <c r="E10" s="32">
        <f>('Raw OI Data'!E10-'Raw OI Data'!F10)-('Raw OI Data'!E6-'Raw OI Data'!F6)</f>
        <v/>
      </c>
      <c r="F10" s="27" t="n"/>
      <c r="G10" s="32">
        <f>('Raw OI Data'!E11-'Raw OI Data'!F11)-('Raw OI Data'!E7-'Raw OI Data'!F7)</f>
        <v/>
      </c>
      <c r="H10" s="32">
        <f>('Raw OI Data'!E12-'Raw OI Data'!F12)-('Raw OI Data'!E8-'Raw OI Data'!F8)</f>
        <v/>
      </c>
      <c r="I10" s="32">
        <f>('Raw OI Data'!E13-'Raw OI Data'!F13)-('Raw OI Data'!E9-'Raw OI Data'!F9)</f>
        <v/>
      </c>
      <c r="J10" s="32">
        <f>('Raw OI Data'!E14-'Raw OI Data'!F14)-('Raw OI Data'!E10-'Raw OI Data'!F10)</f>
        <v/>
      </c>
      <c r="K10" s="27" t="n"/>
      <c r="L10" s="32">
        <f>('Raw OI Data'!E15-'Raw OI Data'!F15)-('Raw OI Data'!E11-'Raw OI Data'!F11)</f>
        <v/>
      </c>
      <c r="M10" s="32">
        <f>('Raw OI Data'!E16-'Raw OI Data'!F16)-('Raw OI Data'!E12-'Raw OI Data'!F12)</f>
        <v/>
      </c>
      <c r="N10" s="32">
        <f>('Raw OI Data'!E17-'Raw OI Data'!F17)-('Raw OI Data'!E13-'Raw OI Data'!F13)</f>
        <v/>
      </c>
      <c r="O10" s="32">
        <f>('Raw OI Data'!E18-'Raw OI Data'!F18)-('Raw OI Data'!E14-'Raw OI Data'!F14)</f>
        <v/>
      </c>
      <c r="P10" s="27" t="n"/>
      <c r="Q10" s="32">
        <f>('Raw OI Data'!E19-'Raw OI Data'!F19)-('Raw OI Data'!E15-'Raw OI Data'!F15)</f>
        <v/>
      </c>
      <c r="R10" s="32">
        <f>('Raw OI Data'!E20-'Raw OI Data'!F20)-('Raw OI Data'!E16-'Raw OI Data'!F16)</f>
        <v/>
      </c>
      <c r="S10" s="32">
        <f>('Raw OI Data'!E21-'Raw OI Data'!F21)-('Raw OI Data'!E17-'Raw OI Data'!F17)</f>
        <v/>
      </c>
      <c r="T10" s="32">
        <f>('Raw OI Data'!E22-'Raw OI Data'!F22)-('Raw OI Data'!E18-'Raw OI Data'!F18)</f>
        <v/>
      </c>
      <c r="U10" s="27" t="n"/>
    </row>
    <row r="11" ht="14" customHeight="1">
      <c r="A11" s="25" t="inlineStr">
        <is>
          <t>Δ Idx Call Long OI</t>
        </is>
      </c>
      <c r="B11" s="28">
        <f>'Raw OI Data'!G7-'Raw OI Data'!G3</f>
        <v/>
      </c>
      <c r="C11" s="28">
        <f>'Raw OI Data'!G8-'Raw OI Data'!G4</f>
        <v/>
      </c>
      <c r="D11" s="28">
        <f>'Raw OI Data'!G9-'Raw OI Data'!G5</f>
        <v/>
      </c>
      <c r="E11" s="28">
        <f>'Raw OI Data'!G10-'Raw OI Data'!G6</f>
        <v/>
      </c>
      <c r="F11" s="26" t="n"/>
      <c r="G11" s="28">
        <f>'Raw OI Data'!G11-'Raw OI Data'!G7</f>
        <v/>
      </c>
      <c r="H11" s="28">
        <f>'Raw OI Data'!G12-'Raw OI Data'!G8</f>
        <v/>
      </c>
      <c r="I11" s="28">
        <f>'Raw OI Data'!G13-'Raw OI Data'!G9</f>
        <v/>
      </c>
      <c r="J11" s="28">
        <f>'Raw OI Data'!G14-'Raw OI Data'!G10</f>
        <v/>
      </c>
      <c r="K11" s="26" t="n"/>
      <c r="L11" s="28">
        <f>'Raw OI Data'!G15-'Raw OI Data'!G11</f>
        <v/>
      </c>
      <c r="M11" s="28">
        <f>'Raw OI Data'!G16-'Raw OI Data'!G12</f>
        <v/>
      </c>
      <c r="N11" s="28">
        <f>'Raw OI Data'!G17-'Raw OI Data'!G13</f>
        <v/>
      </c>
      <c r="O11" s="28">
        <f>'Raw OI Data'!G18-'Raw OI Data'!G14</f>
        <v/>
      </c>
      <c r="P11" s="26" t="n"/>
      <c r="Q11" s="28">
        <f>'Raw OI Data'!G19-'Raw OI Data'!G15</f>
        <v/>
      </c>
      <c r="R11" s="28">
        <f>'Raw OI Data'!G20-'Raw OI Data'!G16</f>
        <v/>
      </c>
      <c r="S11" s="28">
        <f>'Raw OI Data'!G21-'Raw OI Data'!G17</f>
        <v/>
      </c>
      <c r="T11" s="28">
        <f>'Raw OI Data'!G22-'Raw OI Data'!G18</f>
        <v/>
      </c>
      <c r="U11" s="26" t="n"/>
    </row>
    <row r="12" ht="14" customHeight="1">
      <c r="A12" s="25" t="inlineStr">
        <is>
          <t>Δ Idx Put Long OI</t>
        </is>
      </c>
      <c r="B12" s="32">
        <f>'Raw OI Data'!H7-'Raw OI Data'!H3</f>
        <v/>
      </c>
      <c r="C12" s="32">
        <f>'Raw OI Data'!H8-'Raw OI Data'!H4</f>
        <v/>
      </c>
      <c r="D12" s="32">
        <f>'Raw OI Data'!H9-'Raw OI Data'!H5</f>
        <v/>
      </c>
      <c r="E12" s="32">
        <f>'Raw OI Data'!H10-'Raw OI Data'!H6</f>
        <v/>
      </c>
      <c r="F12" s="27" t="n"/>
      <c r="G12" s="32">
        <f>'Raw OI Data'!H11-'Raw OI Data'!H7</f>
        <v/>
      </c>
      <c r="H12" s="32">
        <f>'Raw OI Data'!H12-'Raw OI Data'!H8</f>
        <v/>
      </c>
      <c r="I12" s="32">
        <f>'Raw OI Data'!H13-'Raw OI Data'!H9</f>
        <v/>
      </c>
      <c r="J12" s="32">
        <f>'Raw OI Data'!H14-'Raw OI Data'!H10</f>
        <v/>
      </c>
      <c r="K12" s="27" t="n"/>
      <c r="L12" s="32">
        <f>'Raw OI Data'!H15-'Raw OI Data'!H11</f>
        <v/>
      </c>
      <c r="M12" s="32">
        <f>'Raw OI Data'!H16-'Raw OI Data'!H12</f>
        <v/>
      </c>
      <c r="N12" s="32">
        <f>'Raw OI Data'!H17-'Raw OI Data'!H13</f>
        <v/>
      </c>
      <c r="O12" s="32">
        <f>'Raw OI Data'!H18-'Raw OI Data'!H14</f>
        <v/>
      </c>
      <c r="P12" s="27" t="n"/>
      <c r="Q12" s="32">
        <f>'Raw OI Data'!H19-'Raw OI Data'!H15</f>
        <v/>
      </c>
      <c r="R12" s="32">
        <f>'Raw OI Data'!H20-'Raw OI Data'!H16</f>
        <v/>
      </c>
      <c r="S12" s="32">
        <f>'Raw OI Data'!H21-'Raw OI Data'!H17</f>
        <v/>
      </c>
      <c r="T12" s="32">
        <f>'Raw OI Data'!H22-'Raw OI Data'!H18</f>
        <v/>
      </c>
      <c r="U12" s="27" t="n"/>
    </row>
    <row r="13" ht="14" customHeight="1">
      <c r="A13" s="25" t="inlineStr">
        <is>
          <t>Δ Index OI PCR</t>
        </is>
      </c>
      <c r="B13" s="18">
        <f>IFERROR('Raw OI Data'!H7/'Raw OI Data'!G7,0)-IFERROR('Raw OI Data'!H3/'Raw OI Data'!G3,0)</f>
        <v/>
      </c>
      <c r="C13" s="18">
        <f>IFERROR('Raw OI Data'!H8/'Raw OI Data'!G8,0)-IFERROR('Raw OI Data'!H4/'Raw OI Data'!G4,0)</f>
        <v/>
      </c>
      <c r="D13" s="18">
        <f>IFERROR('Raw OI Data'!H9/'Raw OI Data'!G9,0)-IFERROR('Raw OI Data'!H5/'Raw OI Data'!G5,0)</f>
        <v/>
      </c>
      <c r="E13" s="18">
        <f>IFERROR('Raw OI Data'!H10/'Raw OI Data'!G10,0)-IFERROR('Raw OI Data'!H6/'Raw OI Data'!G6,0)</f>
        <v/>
      </c>
      <c r="F13" s="26" t="n"/>
      <c r="G13" s="18">
        <f>IFERROR('Raw OI Data'!H11/'Raw OI Data'!G11,0)-IFERROR('Raw OI Data'!H7/'Raw OI Data'!G7,0)</f>
        <v/>
      </c>
      <c r="H13" s="18">
        <f>IFERROR('Raw OI Data'!H12/'Raw OI Data'!G12,0)-IFERROR('Raw OI Data'!H8/'Raw OI Data'!G8,0)</f>
        <v/>
      </c>
      <c r="I13" s="18">
        <f>IFERROR('Raw OI Data'!H13/'Raw OI Data'!G13,0)-IFERROR('Raw OI Data'!H9/'Raw OI Data'!G9,0)</f>
        <v/>
      </c>
      <c r="J13" s="18">
        <f>IFERROR('Raw OI Data'!H14/'Raw OI Data'!G14,0)-IFERROR('Raw OI Data'!H10/'Raw OI Data'!G10,0)</f>
        <v/>
      </c>
      <c r="K13" s="26" t="n"/>
      <c r="L13" s="18">
        <f>IFERROR('Raw OI Data'!H15/'Raw OI Data'!G15,0)-IFERROR('Raw OI Data'!H11/'Raw OI Data'!G11,0)</f>
        <v/>
      </c>
      <c r="M13" s="18">
        <f>IFERROR('Raw OI Data'!H16/'Raw OI Data'!G16,0)-IFERROR('Raw OI Data'!H12/'Raw OI Data'!G12,0)</f>
        <v/>
      </c>
      <c r="N13" s="18">
        <f>IFERROR('Raw OI Data'!H17/'Raw OI Data'!G17,0)-IFERROR('Raw OI Data'!H13/'Raw OI Data'!G13,0)</f>
        <v/>
      </c>
      <c r="O13" s="18">
        <f>IFERROR('Raw OI Data'!H18/'Raw OI Data'!G18,0)-IFERROR('Raw OI Data'!H14/'Raw OI Data'!G14,0)</f>
        <v/>
      </c>
      <c r="P13" s="26" t="n"/>
      <c r="Q13" s="18">
        <f>IFERROR('Raw OI Data'!H19/'Raw OI Data'!G19,0)-IFERROR('Raw OI Data'!H15/'Raw OI Data'!G15,0)</f>
        <v/>
      </c>
      <c r="R13" s="18">
        <f>IFERROR('Raw OI Data'!H20/'Raw OI Data'!G20,0)-IFERROR('Raw OI Data'!H16/'Raw OI Data'!G16,0)</f>
        <v/>
      </c>
      <c r="S13" s="18">
        <f>IFERROR('Raw OI Data'!H21/'Raw OI Data'!G21,0)-IFERROR('Raw OI Data'!H17/'Raw OI Data'!G17,0)</f>
        <v/>
      </c>
      <c r="T13" s="18">
        <f>IFERROR('Raw OI Data'!H22/'Raw OI Data'!G22,0)-IFERROR('Raw OI Data'!H18/'Raw OI Data'!G18,0)</f>
        <v/>
      </c>
      <c r="U13" s="26" t="n"/>
    </row>
    <row r="14" ht="14" customHeight="1">
      <c r="A14" s="25" t="inlineStr">
        <is>
          <t>Δ Total Long OI</t>
        </is>
      </c>
      <c r="B14" s="32">
        <f>'Raw OI Data'!O7-'Raw OI Data'!O3</f>
        <v/>
      </c>
      <c r="C14" s="32">
        <f>'Raw OI Data'!O8-'Raw OI Data'!O4</f>
        <v/>
      </c>
      <c r="D14" s="32">
        <f>'Raw OI Data'!O9-'Raw OI Data'!O5</f>
        <v/>
      </c>
      <c r="E14" s="32">
        <f>'Raw OI Data'!O10-'Raw OI Data'!O6</f>
        <v/>
      </c>
      <c r="F14" s="27" t="n"/>
      <c r="G14" s="32">
        <f>'Raw OI Data'!O11-'Raw OI Data'!O7</f>
        <v/>
      </c>
      <c r="H14" s="32">
        <f>'Raw OI Data'!O12-'Raw OI Data'!O8</f>
        <v/>
      </c>
      <c r="I14" s="32">
        <f>'Raw OI Data'!O13-'Raw OI Data'!O9</f>
        <v/>
      </c>
      <c r="J14" s="32">
        <f>'Raw OI Data'!O14-'Raw OI Data'!O10</f>
        <v/>
      </c>
      <c r="K14" s="27" t="n"/>
      <c r="L14" s="32">
        <f>'Raw OI Data'!O15-'Raw OI Data'!O11</f>
        <v/>
      </c>
      <c r="M14" s="32">
        <f>'Raw OI Data'!O16-'Raw OI Data'!O12</f>
        <v/>
      </c>
      <c r="N14" s="32">
        <f>'Raw OI Data'!O17-'Raw OI Data'!O13</f>
        <v/>
      </c>
      <c r="O14" s="32">
        <f>'Raw OI Data'!O18-'Raw OI Data'!O14</f>
        <v/>
      </c>
      <c r="P14" s="27" t="n"/>
      <c r="Q14" s="32">
        <f>'Raw OI Data'!O19-'Raw OI Data'!O15</f>
        <v/>
      </c>
      <c r="R14" s="32">
        <f>'Raw OI Data'!O20-'Raw OI Data'!O16</f>
        <v/>
      </c>
      <c r="S14" s="32">
        <f>'Raw OI Data'!O21-'Raw OI Data'!O17</f>
        <v/>
      </c>
      <c r="T14" s="32">
        <f>'Raw OI Data'!O22-'Raw OI Data'!O18</f>
        <v/>
      </c>
      <c r="U14" s="27" t="n"/>
    </row>
    <row r="15" ht="14" customHeight="1">
      <c r="A15" s="25" t="inlineStr">
        <is>
          <t>Δ Total Short OI</t>
        </is>
      </c>
      <c r="B15" s="28">
        <f>'Raw OI Data'!P7-'Raw OI Data'!P3</f>
        <v/>
      </c>
      <c r="C15" s="28">
        <f>'Raw OI Data'!P8-'Raw OI Data'!P4</f>
        <v/>
      </c>
      <c r="D15" s="28">
        <f>'Raw OI Data'!P9-'Raw OI Data'!P5</f>
        <v/>
      </c>
      <c r="E15" s="28">
        <f>'Raw OI Data'!P10-'Raw OI Data'!P6</f>
        <v/>
      </c>
      <c r="F15" s="26" t="n"/>
      <c r="G15" s="28">
        <f>'Raw OI Data'!P11-'Raw OI Data'!P7</f>
        <v/>
      </c>
      <c r="H15" s="28">
        <f>'Raw OI Data'!P12-'Raw OI Data'!P8</f>
        <v/>
      </c>
      <c r="I15" s="28">
        <f>'Raw OI Data'!P13-'Raw OI Data'!P9</f>
        <v/>
      </c>
      <c r="J15" s="28">
        <f>'Raw OI Data'!P14-'Raw OI Data'!P10</f>
        <v/>
      </c>
      <c r="K15" s="26" t="n"/>
      <c r="L15" s="28">
        <f>'Raw OI Data'!P15-'Raw OI Data'!P11</f>
        <v/>
      </c>
      <c r="M15" s="28">
        <f>'Raw OI Data'!P16-'Raw OI Data'!P12</f>
        <v/>
      </c>
      <c r="N15" s="28">
        <f>'Raw OI Data'!P17-'Raw OI Data'!P13</f>
        <v/>
      </c>
      <c r="O15" s="28">
        <f>'Raw OI Data'!P18-'Raw OI Data'!P14</f>
        <v/>
      </c>
      <c r="P15" s="26" t="n"/>
      <c r="Q15" s="28">
        <f>'Raw OI Data'!P19-'Raw OI Data'!P15</f>
        <v/>
      </c>
      <c r="R15" s="28">
        <f>'Raw OI Data'!P20-'Raw OI Data'!P16</f>
        <v/>
      </c>
      <c r="S15" s="28">
        <f>'Raw OI Data'!P21-'Raw OI Data'!P17</f>
        <v/>
      </c>
      <c r="T15" s="28">
        <f>'Raw OI Data'!P22-'Raw OI Data'!P18</f>
        <v/>
      </c>
      <c r="U15" s="26" t="n"/>
    </row>
    <row r="16" ht="14" customHeight="1">
      <c r="A16" s="25" t="inlineStr">
        <is>
          <t>Δ Net Total OI</t>
        </is>
      </c>
      <c r="B16" s="32">
        <f>('Raw OI Data'!O7-'Raw OI Data'!P7)-('Raw OI Data'!O3-'Raw OI Data'!P3)</f>
        <v/>
      </c>
      <c r="C16" s="32">
        <f>('Raw OI Data'!O8-'Raw OI Data'!P8)-('Raw OI Data'!O4-'Raw OI Data'!P4)</f>
        <v/>
      </c>
      <c r="D16" s="32">
        <f>('Raw OI Data'!O9-'Raw OI Data'!P9)-('Raw OI Data'!O5-'Raw OI Data'!P5)</f>
        <v/>
      </c>
      <c r="E16" s="32">
        <f>('Raw OI Data'!O10-'Raw OI Data'!P10)-('Raw OI Data'!O6-'Raw OI Data'!P6)</f>
        <v/>
      </c>
      <c r="F16" s="27" t="n"/>
      <c r="G16" s="32">
        <f>('Raw OI Data'!O11-'Raw OI Data'!P11)-('Raw OI Data'!O7-'Raw OI Data'!P7)</f>
        <v/>
      </c>
      <c r="H16" s="32">
        <f>('Raw OI Data'!O12-'Raw OI Data'!P12)-('Raw OI Data'!O8-'Raw OI Data'!P8)</f>
        <v/>
      </c>
      <c r="I16" s="32">
        <f>('Raw OI Data'!O13-'Raw OI Data'!P13)-('Raw OI Data'!O9-'Raw OI Data'!P9)</f>
        <v/>
      </c>
      <c r="J16" s="32">
        <f>('Raw OI Data'!O14-'Raw OI Data'!P14)-('Raw OI Data'!O10-'Raw OI Data'!P10)</f>
        <v/>
      </c>
      <c r="K16" s="27" t="n"/>
      <c r="L16" s="32">
        <f>('Raw OI Data'!O15-'Raw OI Data'!P15)-('Raw OI Data'!O11-'Raw OI Data'!P11)</f>
        <v/>
      </c>
      <c r="M16" s="32">
        <f>('Raw OI Data'!O16-'Raw OI Data'!P16)-('Raw OI Data'!O12-'Raw OI Data'!P12)</f>
        <v/>
      </c>
      <c r="N16" s="32">
        <f>('Raw OI Data'!O17-'Raw OI Data'!P17)-('Raw OI Data'!O13-'Raw OI Data'!P13)</f>
        <v/>
      </c>
      <c r="O16" s="32">
        <f>('Raw OI Data'!O18-'Raw OI Data'!P18)-('Raw OI Data'!O14-'Raw OI Data'!P14)</f>
        <v/>
      </c>
      <c r="P16" s="27" t="n"/>
      <c r="Q16" s="32">
        <f>('Raw OI Data'!O19-'Raw OI Data'!P19)-('Raw OI Data'!O15-'Raw OI Data'!P15)</f>
        <v/>
      </c>
      <c r="R16" s="32">
        <f>('Raw OI Data'!O20-'Raw OI Data'!P20)-('Raw OI Data'!O16-'Raw OI Data'!P16)</f>
        <v/>
      </c>
      <c r="S16" s="32">
        <f>('Raw OI Data'!O21-'Raw OI Data'!P21)-('Raw OI Data'!O17-'Raw OI Data'!P17)</f>
        <v/>
      </c>
      <c r="T16" s="32">
        <f>('Raw OI Data'!O22-'Raw OI Data'!P22)-('Raw OI Data'!O18-'Raw OI Data'!P18)</f>
        <v/>
      </c>
      <c r="U16" s="27" t="n"/>
    </row>
    <row r="17" ht="16" customHeight="1">
      <c r="A17" s="14" t="inlineStr">
        <is>
          <t>VOLUME CHANGES</t>
        </is>
      </c>
    </row>
    <row r="18" ht="14" customHeight="1">
      <c r="A18" s="25" t="inlineStr">
        <is>
          <t>Δ Fut Idx Buy Vol</t>
        </is>
      </c>
      <c r="B18" s="28">
        <f>'Raw TV Data'!C7-'Raw TV Data'!C3</f>
        <v/>
      </c>
      <c r="C18" s="28">
        <f>'Raw TV Data'!C8-'Raw TV Data'!C4</f>
        <v/>
      </c>
      <c r="D18" s="28">
        <f>'Raw TV Data'!C9-'Raw TV Data'!C5</f>
        <v/>
      </c>
      <c r="E18" s="28">
        <f>'Raw TV Data'!C10-'Raw TV Data'!C6</f>
        <v/>
      </c>
      <c r="F18" s="26" t="n"/>
      <c r="G18" s="28">
        <f>'Raw TV Data'!C11-'Raw TV Data'!C7</f>
        <v/>
      </c>
      <c r="H18" s="28">
        <f>'Raw TV Data'!C12-'Raw TV Data'!C8</f>
        <v/>
      </c>
      <c r="I18" s="28">
        <f>'Raw TV Data'!C13-'Raw TV Data'!C9</f>
        <v/>
      </c>
      <c r="J18" s="28">
        <f>'Raw TV Data'!C14-'Raw TV Data'!C10</f>
        <v/>
      </c>
      <c r="K18" s="26" t="n"/>
      <c r="L18" s="28">
        <f>'Raw TV Data'!C15-'Raw TV Data'!C11</f>
        <v/>
      </c>
      <c r="M18" s="28">
        <f>'Raw TV Data'!C16-'Raw TV Data'!C12</f>
        <v/>
      </c>
      <c r="N18" s="28">
        <f>'Raw TV Data'!C17-'Raw TV Data'!C13</f>
        <v/>
      </c>
      <c r="O18" s="28">
        <f>'Raw TV Data'!C18-'Raw TV Data'!C14</f>
        <v/>
      </c>
      <c r="P18" s="26" t="n"/>
      <c r="Q18" s="28">
        <f>'Raw TV Data'!C19-'Raw TV Data'!C15</f>
        <v/>
      </c>
      <c r="R18" s="28">
        <f>'Raw TV Data'!C20-'Raw TV Data'!C16</f>
        <v/>
      </c>
      <c r="S18" s="28">
        <f>'Raw TV Data'!C21-'Raw TV Data'!C17</f>
        <v/>
      </c>
      <c r="T18" s="28">
        <f>'Raw TV Data'!C22-'Raw TV Data'!C18</f>
        <v/>
      </c>
      <c r="U18" s="26" t="n"/>
    </row>
    <row r="19" ht="14" customHeight="1">
      <c r="A19" s="25" t="inlineStr">
        <is>
          <t>Δ Idx Call Buy Vol</t>
        </is>
      </c>
      <c r="B19" s="32">
        <f>'Raw TV Data'!G7-'Raw TV Data'!G3</f>
        <v/>
      </c>
      <c r="C19" s="32">
        <f>'Raw TV Data'!G8-'Raw TV Data'!G4</f>
        <v/>
      </c>
      <c r="D19" s="32">
        <f>'Raw TV Data'!G9-'Raw TV Data'!G5</f>
        <v/>
      </c>
      <c r="E19" s="32">
        <f>'Raw TV Data'!G10-'Raw TV Data'!G6</f>
        <v/>
      </c>
      <c r="F19" s="27" t="n"/>
      <c r="G19" s="32">
        <f>'Raw TV Data'!G11-'Raw TV Data'!G7</f>
        <v/>
      </c>
      <c r="H19" s="32">
        <f>'Raw TV Data'!G12-'Raw TV Data'!G8</f>
        <v/>
      </c>
      <c r="I19" s="32">
        <f>'Raw TV Data'!G13-'Raw TV Data'!G9</f>
        <v/>
      </c>
      <c r="J19" s="32">
        <f>'Raw TV Data'!G14-'Raw TV Data'!G10</f>
        <v/>
      </c>
      <c r="K19" s="27" t="n"/>
      <c r="L19" s="32">
        <f>'Raw TV Data'!G15-'Raw TV Data'!G11</f>
        <v/>
      </c>
      <c r="M19" s="32">
        <f>'Raw TV Data'!G16-'Raw TV Data'!G12</f>
        <v/>
      </c>
      <c r="N19" s="32">
        <f>'Raw TV Data'!G17-'Raw TV Data'!G13</f>
        <v/>
      </c>
      <c r="O19" s="32">
        <f>'Raw TV Data'!G18-'Raw TV Data'!G14</f>
        <v/>
      </c>
      <c r="P19" s="27" t="n"/>
      <c r="Q19" s="32">
        <f>'Raw TV Data'!G19-'Raw TV Data'!G15</f>
        <v/>
      </c>
      <c r="R19" s="32">
        <f>'Raw TV Data'!G20-'Raw TV Data'!G16</f>
        <v/>
      </c>
      <c r="S19" s="32">
        <f>'Raw TV Data'!G21-'Raw TV Data'!G17</f>
        <v/>
      </c>
      <c r="T19" s="32">
        <f>'Raw TV Data'!G22-'Raw TV Data'!G18</f>
        <v/>
      </c>
      <c r="U19" s="27" t="n"/>
    </row>
    <row r="20" ht="14" customHeight="1">
      <c r="A20" s="25" t="inlineStr">
        <is>
          <t>Δ Idx Put Buy Vol</t>
        </is>
      </c>
      <c r="B20" s="28">
        <f>'Raw TV Data'!H7-'Raw TV Data'!H3</f>
        <v/>
      </c>
      <c r="C20" s="28">
        <f>'Raw TV Data'!H8-'Raw TV Data'!H4</f>
        <v/>
      </c>
      <c r="D20" s="28">
        <f>'Raw TV Data'!H9-'Raw TV Data'!H5</f>
        <v/>
      </c>
      <c r="E20" s="28">
        <f>'Raw TV Data'!H10-'Raw TV Data'!H6</f>
        <v/>
      </c>
      <c r="F20" s="26" t="n"/>
      <c r="G20" s="28">
        <f>'Raw TV Data'!H11-'Raw TV Data'!H7</f>
        <v/>
      </c>
      <c r="H20" s="28">
        <f>'Raw TV Data'!H12-'Raw TV Data'!H8</f>
        <v/>
      </c>
      <c r="I20" s="28">
        <f>'Raw TV Data'!H13-'Raw TV Data'!H9</f>
        <v/>
      </c>
      <c r="J20" s="28">
        <f>'Raw TV Data'!H14-'Raw TV Data'!H10</f>
        <v/>
      </c>
      <c r="K20" s="26" t="n"/>
      <c r="L20" s="28">
        <f>'Raw TV Data'!H15-'Raw TV Data'!H11</f>
        <v/>
      </c>
      <c r="M20" s="28">
        <f>'Raw TV Data'!H16-'Raw TV Data'!H12</f>
        <v/>
      </c>
      <c r="N20" s="28">
        <f>'Raw TV Data'!H17-'Raw TV Data'!H13</f>
        <v/>
      </c>
      <c r="O20" s="28">
        <f>'Raw TV Data'!H18-'Raw TV Data'!H14</f>
        <v/>
      </c>
      <c r="P20" s="26" t="n"/>
      <c r="Q20" s="28">
        <f>'Raw TV Data'!H19-'Raw TV Data'!H15</f>
        <v/>
      </c>
      <c r="R20" s="28">
        <f>'Raw TV Data'!H20-'Raw TV Data'!H16</f>
        <v/>
      </c>
      <c r="S20" s="28">
        <f>'Raw TV Data'!H21-'Raw TV Data'!H17</f>
        <v/>
      </c>
      <c r="T20" s="28">
        <f>'Raw TV Data'!H22-'Raw TV Data'!H18</f>
        <v/>
      </c>
      <c r="U20" s="26" t="n"/>
    </row>
    <row r="21" ht="14" customHeight="1">
      <c r="A21" s="25" t="inlineStr">
        <is>
          <t>Δ Vol PCR (Index)</t>
        </is>
      </c>
      <c r="B21" s="16">
        <f>IFERROR('Raw TV Data'!H7/'Raw TV Data'!G7,0)-IFERROR('Raw TV Data'!H3/'Raw TV Data'!G3,0)</f>
        <v/>
      </c>
      <c r="C21" s="16">
        <f>IFERROR('Raw TV Data'!H8/'Raw TV Data'!G8,0)-IFERROR('Raw TV Data'!H4/'Raw TV Data'!G4,0)</f>
        <v/>
      </c>
      <c r="D21" s="16">
        <f>IFERROR('Raw TV Data'!H9/'Raw TV Data'!G9,0)-IFERROR('Raw TV Data'!H5/'Raw TV Data'!G5,0)</f>
        <v/>
      </c>
      <c r="E21" s="16">
        <f>IFERROR('Raw TV Data'!H10/'Raw TV Data'!G10,0)-IFERROR('Raw TV Data'!H6/'Raw TV Data'!G6,0)</f>
        <v/>
      </c>
      <c r="F21" s="27" t="n"/>
      <c r="G21" s="16">
        <f>IFERROR('Raw TV Data'!H11/'Raw TV Data'!G11,0)-IFERROR('Raw TV Data'!H7/'Raw TV Data'!G7,0)</f>
        <v/>
      </c>
      <c r="H21" s="16">
        <f>IFERROR('Raw TV Data'!H12/'Raw TV Data'!G12,0)-IFERROR('Raw TV Data'!H8/'Raw TV Data'!G8,0)</f>
        <v/>
      </c>
      <c r="I21" s="16">
        <f>IFERROR('Raw TV Data'!H13/'Raw TV Data'!G13,0)-IFERROR('Raw TV Data'!H9/'Raw TV Data'!G9,0)</f>
        <v/>
      </c>
      <c r="J21" s="16">
        <f>IFERROR('Raw TV Data'!H14/'Raw TV Data'!G14,0)-IFERROR('Raw TV Data'!H10/'Raw TV Data'!G10,0)</f>
        <v/>
      </c>
      <c r="K21" s="27" t="n"/>
      <c r="L21" s="16">
        <f>IFERROR('Raw TV Data'!H15/'Raw TV Data'!G15,0)-IFERROR('Raw TV Data'!H11/'Raw TV Data'!G11,0)</f>
        <v/>
      </c>
      <c r="M21" s="16">
        <f>IFERROR('Raw TV Data'!H16/'Raw TV Data'!G16,0)-IFERROR('Raw TV Data'!H12/'Raw TV Data'!G12,0)</f>
        <v/>
      </c>
      <c r="N21" s="16">
        <f>IFERROR('Raw TV Data'!H17/'Raw TV Data'!G17,0)-IFERROR('Raw TV Data'!H13/'Raw TV Data'!G13,0)</f>
        <v/>
      </c>
      <c r="O21" s="16">
        <f>IFERROR('Raw TV Data'!H18/'Raw TV Data'!G18,0)-IFERROR('Raw TV Data'!H14/'Raw TV Data'!G14,0)</f>
        <v/>
      </c>
      <c r="P21" s="27" t="n"/>
      <c r="Q21" s="16">
        <f>IFERROR('Raw TV Data'!H19/'Raw TV Data'!G19,0)-IFERROR('Raw TV Data'!H15/'Raw TV Data'!G15,0)</f>
        <v/>
      </c>
      <c r="R21" s="16">
        <f>IFERROR('Raw TV Data'!H20/'Raw TV Data'!G20,0)-IFERROR('Raw TV Data'!H16/'Raw TV Data'!G16,0)</f>
        <v/>
      </c>
      <c r="S21" s="16">
        <f>IFERROR('Raw TV Data'!H21/'Raw TV Data'!G21,0)-IFERROR('Raw TV Data'!H17/'Raw TV Data'!G17,0)</f>
        <v/>
      </c>
      <c r="T21" s="16">
        <f>IFERROR('Raw TV Data'!H22/'Raw TV Data'!G22,0)-IFERROR('Raw TV Data'!H18/'Raw TV Data'!G18,0)</f>
        <v/>
      </c>
      <c r="U21" s="27" t="n"/>
    </row>
    <row r="22" ht="14" customHeight="1">
      <c r="A22" s="25" t="inlineStr">
        <is>
          <t>Δ Total Buy Vol</t>
        </is>
      </c>
      <c r="B22" s="28">
        <f>'Raw TV Data'!O7-'Raw TV Data'!O3</f>
        <v/>
      </c>
      <c r="C22" s="28">
        <f>'Raw TV Data'!O8-'Raw TV Data'!O4</f>
        <v/>
      </c>
      <c r="D22" s="28">
        <f>'Raw TV Data'!O9-'Raw TV Data'!O5</f>
        <v/>
      </c>
      <c r="E22" s="28">
        <f>'Raw TV Data'!O10-'Raw TV Data'!O6</f>
        <v/>
      </c>
      <c r="F22" s="26" t="n"/>
      <c r="G22" s="28">
        <f>'Raw TV Data'!O11-'Raw TV Data'!O7</f>
        <v/>
      </c>
      <c r="H22" s="28">
        <f>'Raw TV Data'!O12-'Raw TV Data'!O8</f>
        <v/>
      </c>
      <c r="I22" s="28">
        <f>'Raw TV Data'!O13-'Raw TV Data'!O9</f>
        <v/>
      </c>
      <c r="J22" s="28">
        <f>'Raw TV Data'!O14-'Raw TV Data'!O10</f>
        <v/>
      </c>
      <c r="K22" s="26" t="n"/>
      <c r="L22" s="28">
        <f>'Raw TV Data'!O15-'Raw TV Data'!O11</f>
        <v/>
      </c>
      <c r="M22" s="28">
        <f>'Raw TV Data'!O16-'Raw TV Data'!O12</f>
        <v/>
      </c>
      <c r="N22" s="28">
        <f>'Raw TV Data'!O17-'Raw TV Data'!O13</f>
        <v/>
      </c>
      <c r="O22" s="28">
        <f>'Raw TV Data'!O18-'Raw TV Data'!O14</f>
        <v/>
      </c>
      <c r="P22" s="26" t="n"/>
      <c r="Q22" s="28">
        <f>'Raw TV Data'!O19-'Raw TV Data'!O15</f>
        <v/>
      </c>
      <c r="R22" s="28">
        <f>'Raw TV Data'!O20-'Raw TV Data'!O16</f>
        <v/>
      </c>
      <c r="S22" s="28">
        <f>'Raw TV Data'!O21-'Raw TV Data'!O17</f>
        <v/>
      </c>
      <c r="T22" s="28">
        <f>'Raw TV Data'!O22-'Raw TV Data'!O18</f>
        <v/>
      </c>
      <c r="U22" s="26" t="n"/>
    </row>
  </sheetData>
  <mergeCells count="7">
    <mergeCell ref="A4:U4"/>
    <mergeCell ref="L2:O2"/>
    <mergeCell ref="G2:J2"/>
    <mergeCell ref="B2:E2"/>
    <mergeCell ref="Q2:T2"/>
    <mergeCell ref="A1:U1"/>
    <mergeCell ref="A17:U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7" customWidth="1" min="12" max="12"/>
    <col width="2" customWidth="1" min="13" max="13"/>
  </cols>
  <sheetData>
    <row r="1" ht="22" customHeight="1">
      <c r="A1" s="1" t="inlineStr">
        <is>
          <t>NSE FAO — Option Chain View (Strike-wise, All Dates)</t>
        </is>
      </c>
    </row>
    <row r="2" ht="16" customHeight="1">
      <c r="A2" s="19" t="inlineStr">
        <is>
          <t>Strike</t>
        </is>
      </c>
      <c r="B2" s="19" t="inlineStr">
        <is>
          <t>Jul 03 2026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</row>
    <row r="3" ht="14" customHeight="1">
      <c r="A3" s="37" t="inlineStr"/>
      <c r="B3" s="8" t="inlineStr">
        <is>
          <t>← CALLS</t>
        </is>
      </c>
      <c r="C3" s="9" t="n"/>
      <c r="D3" s="9" t="n"/>
      <c r="E3" s="9" t="n"/>
      <c r="F3" s="9" t="n"/>
      <c r="G3" s="10" t="inlineStr">
        <is>
          <t>PUTS →</t>
        </is>
      </c>
      <c r="H3" s="11" t="n"/>
      <c r="I3" s="11" t="n"/>
      <c r="J3" s="11" t="n"/>
      <c r="K3" s="11" t="n"/>
      <c r="L3" s="38" t="inlineStr">
        <is>
          <t>PCR</t>
        </is>
      </c>
    </row>
    <row r="4" ht="28" customHeight="1">
      <c r="A4" s="39" t="inlineStr">
        <is>
          <t>Strike</t>
        </is>
      </c>
      <c r="B4" s="12" t="inlineStr">
        <is>
          <t>Call OI</t>
        </is>
      </c>
      <c r="C4" s="12" t="inlineStr">
        <is>
          <t>Call ΔOI</t>
        </is>
      </c>
      <c r="D4" s="12" t="inlineStr">
        <is>
          <t>Call Vol</t>
        </is>
      </c>
      <c r="E4" s="12" t="inlineStr">
        <is>
          <t>Call IV</t>
        </is>
      </c>
      <c r="F4" s="12" t="inlineStr">
        <is>
          <t>Call LTP</t>
        </is>
      </c>
      <c r="G4" s="13" t="inlineStr">
        <is>
          <t>Put OI</t>
        </is>
      </c>
      <c r="H4" s="13" t="inlineStr">
        <is>
          <t>Put ΔOI</t>
        </is>
      </c>
      <c r="I4" s="13" t="inlineStr">
        <is>
          <t>Put Vol</t>
        </is>
      </c>
      <c r="J4" s="13" t="inlineStr">
        <is>
          <t>Put IV</t>
        </is>
      </c>
      <c r="K4" s="13" t="inlineStr">
        <is>
          <t>Put LTP</t>
        </is>
      </c>
      <c r="L4" s="38" t="inlineStr">
        <is>
          <t>P/C OI</t>
        </is>
      </c>
    </row>
    <row r="5" ht="13" customHeight="1">
      <c r="A5" s="6" t="n">
        <v>21350</v>
      </c>
      <c r="B5" s="40" t="n">
        <v>2</v>
      </c>
      <c r="C5" s="40" t="n">
        <v>0</v>
      </c>
      <c r="D5" s="40" t="n">
        <v>0</v>
      </c>
      <c r="E5" s="41" t="n"/>
      <c r="F5" s="41" t="n">
        <v>2825</v>
      </c>
      <c r="G5" s="42" t="n">
        <v>30222</v>
      </c>
      <c r="H5" s="42" t="n">
        <v>-2197</v>
      </c>
      <c r="I5" s="42" t="n">
        <v>50593</v>
      </c>
      <c r="J5" s="43" t="n">
        <v>40.94</v>
      </c>
      <c r="K5" s="43" t="n">
        <v>0.35</v>
      </c>
      <c r="L5" s="44" t="n">
        <v>15111</v>
      </c>
    </row>
    <row r="6" ht="13" customHeight="1">
      <c r="A6" s="4" t="n">
        <v>21400</v>
      </c>
      <c r="B6" s="40" t="n">
        <v>0</v>
      </c>
      <c r="C6" s="40" t="n">
        <v>0</v>
      </c>
      <c r="D6" s="40" t="n">
        <v>0</v>
      </c>
      <c r="E6" s="41" t="n"/>
      <c r="F6" s="41" t="n"/>
      <c r="G6" s="42" t="n">
        <v>15754</v>
      </c>
      <c r="H6" s="42" t="n">
        <v>1234</v>
      </c>
      <c r="I6" s="42" t="n">
        <v>35997</v>
      </c>
      <c r="J6" s="43" t="n">
        <v>40.26</v>
      </c>
      <c r="K6" s="43" t="n">
        <v>0.35</v>
      </c>
      <c r="L6" s="44" t="n"/>
    </row>
    <row r="7" ht="13" customHeight="1">
      <c r="A7" s="6" t="n">
        <v>21450</v>
      </c>
      <c r="B7" s="40" t="n">
        <v>0</v>
      </c>
      <c r="C7" s="40" t="n">
        <v>0</v>
      </c>
      <c r="D7" s="40" t="n">
        <v>0</v>
      </c>
      <c r="E7" s="41" t="n"/>
      <c r="F7" s="41" t="n"/>
      <c r="G7" s="42" t="n">
        <v>869</v>
      </c>
      <c r="H7" s="42" t="n">
        <v>450</v>
      </c>
      <c r="I7" s="42" t="n">
        <v>2798</v>
      </c>
      <c r="J7" s="43" t="n">
        <v>40.45</v>
      </c>
      <c r="K7" s="43" t="n">
        <v>0.45</v>
      </c>
      <c r="L7" s="44" t="n"/>
    </row>
    <row r="8" ht="13" customHeight="1">
      <c r="A8" s="4" t="n">
        <v>21500</v>
      </c>
      <c r="B8" s="40" t="n">
        <v>21</v>
      </c>
      <c r="C8" s="40" t="n">
        <v>0</v>
      </c>
      <c r="D8" s="40" t="n">
        <v>0</v>
      </c>
      <c r="E8" s="41" t="n">
        <v>63.34</v>
      </c>
      <c r="F8" s="41" t="n">
        <v>2483.7</v>
      </c>
      <c r="G8" s="42" t="n">
        <v>30095</v>
      </c>
      <c r="H8" s="42" t="n">
        <v>-12871</v>
      </c>
      <c r="I8" s="42" t="n">
        <v>133479</v>
      </c>
      <c r="J8" s="43" t="n">
        <v>38.9</v>
      </c>
      <c r="K8" s="43" t="n">
        <v>0.35</v>
      </c>
      <c r="L8" s="44" t="n">
        <v>1433.1</v>
      </c>
    </row>
    <row r="9" ht="13" customHeight="1">
      <c r="A9" s="6" t="n">
        <v>21550</v>
      </c>
      <c r="B9" s="40" t="n">
        <v>0</v>
      </c>
      <c r="C9" s="40" t="n">
        <v>0</v>
      </c>
      <c r="D9" s="40" t="n">
        <v>0</v>
      </c>
      <c r="E9" s="41" t="n"/>
      <c r="F9" s="41" t="n"/>
      <c r="G9" s="42" t="n">
        <v>1029</v>
      </c>
      <c r="H9" s="42" t="n">
        <v>631</v>
      </c>
      <c r="I9" s="42" t="n">
        <v>2560</v>
      </c>
      <c r="J9" s="43" t="n">
        <v>38.66</v>
      </c>
      <c r="K9" s="43" t="n">
        <v>0.4</v>
      </c>
      <c r="L9" s="44" t="n"/>
    </row>
    <row r="10" ht="13" customHeight="1">
      <c r="A10" s="4" t="n">
        <v>21600</v>
      </c>
      <c r="B10" s="40" t="n">
        <v>0</v>
      </c>
      <c r="C10" s="40" t="n">
        <v>0</v>
      </c>
      <c r="D10" s="40" t="n">
        <v>0</v>
      </c>
      <c r="E10" s="41" t="n"/>
      <c r="F10" s="41" t="n"/>
      <c r="G10" s="42" t="n">
        <v>3051</v>
      </c>
      <c r="H10" s="42" t="n">
        <v>1314</v>
      </c>
      <c r="I10" s="42" t="n">
        <v>14345</v>
      </c>
      <c r="J10" s="43" t="n">
        <v>37.98</v>
      </c>
      <c r="K10" s="43" t="n">
        <v>0.4</v>
      </c>
      <c r="L10" s="44" t="n"/>
    </row>
    <row r="11" ht="13" customHeight="1">
      <c r="A11" s="6" t="n">
        <v>21650</v>
      </c>
      <c r="B11" s="40" t="n">
        <v>0</v>
      </c>
      <c r="C11" s="40" t="n">
        <v>0</v>
      </c>
      <c r="D11" s="40" t="n">
        <v>0</v>
      </c>
      <c r="E11" s="41" t="n"/>
      <c r="F11" s="41" t="n"/>
      <c r="G11" s="42" t="n">
        <v>754</v>
      </c>
      <c r="H11" s="42" t="n">
        <v>-360</v>
      </c>
      <c r="I11" s="42" t="n">
        <v>9210</v>
      </c>
      <c r="J11" s="43" t="n">
        <v>37.29</v>
      </c>
      <c r="K11" s="43" t="n">
        <v>0.4</v>
      </c>
      <c r="L11" s="44" t="n"/>
    </row>
    <row r="12" ht="13" customHeight="1">
      <c r="A12" s="4" t="n">
        <v>21700</v>
      </c>
      <c r="B12" s="40" t="n">
        <v>0</v>
      </c>
      <c r="C12" s="40" t="n">
        <v>0</v>
      </c>
      <c r="D12" s="40" t="n">
        <v>0</v>
      </c>
      <c r="E12" s="41" t="n"/>
      <c r="F12" s="41" t="n"/>
      <c r="G12" s="42" t="n">
        <v>1847</v>
      </c>
      <c r="H12" s="42" t="n">
        <v>-1268</v>
      </c>
      <c r="I12" s="42" t="n">
        <v>16926</v>
      </c>
      <c r="J12" s="43" t="n">
        <v>36.61</v>
      </c>
      <c r="K12" s="43" t="n">
        <v>0.4</v>
      </c>
      <c r="L12" s="44" t="n"/>
    </row>
    <row r="13" ht="13" customHeight="1">
      <c r="A13" s="6" t="n">
        <v>21750</v>
      </c>
      <c r="B13" s="40" t="n">
        <v>0</v>
      </c>
      <c r="C13" s="40" t="n">
        <v>0</v>
      </c>
      <c r="D13" s="40" t="n">
        <v>0</v>
      </c>
      <c r="E13" s="41" t="n"/>
      <c r="F13" s="41" t="n"/>
      <c r="G13" s="42" t="n">
        <v>560</v>
      </c>
      <c r="H13" s="42" t="n">
        <v>-84</v>
      </c>
      <c r="I13" s="42" t="n">
        <v>2295</v>
      </c>
      <c r="J13" s="43" t="n">
        <v>36.66</v>
      </c>
      <c r="K13" s="43" t="n">
        <v>0.5</v>
      </c>
      <c r="L13" s="44" t="n"/>
    </row>
    <row r="14" ht="13" customHeight="1">
      <c r="A14" s="4" t="n">
        <v>21800</v>
      </c>
      <c r="B14" s="40" t="n">
        <v>0</v>
      </c>
      <c r="C14" s="40" t="n">
        <v>0</v>
      </c>
      <c r="D14" s="40" t="n">
        <v>0</v>
      </c>
      <c r="E14" s="41" t="n"/>
      <c r="F14" s="41" t="n"/>
      <c r="G14" s="42" t="n">
        <v>8633</v>
      </c>
      <c r="H14" s="42" t="n">
        <v>-3492</v>
      </c>
      <c r="I14" s="42" t="n">
        <v>49147</v>
      </c>
      <c r="J14" s="43" t="n">
        <v>35.62</v>
      </c>
      <c r="K14" s="43" t="n">
        <v>0.45</v>
      </c>
      <c r="L14" s="44" t="n"/>
    </row>
    <row r="15" ht="13" customHeight="1">
      <c r="A15" s="6" t="n">
        <v>21850</v>
      </c>
      <c r="B15" s="40" t="n">
        <v>0</v>
      </c>
      <c r="C15" s="40" t="n">
        <v>0</v>
      </c>
      <c r="D15" s="40" t="n">
        <v>0</v>
      </c>
      <c r="E15" s="41" t="n"/>
      <c r="F15" s="41" t="n"/>
      <c r="G15" s="42" t="n">
        <v>845</v>
      </c>
      <c r="H15" s="42" t="n">
        <v>197</v>
      </c>
      <c r="I15" s="42" t="n">
        <v>2675</v>
      </c>
      <c r="J15" s="43" t="n">
        <v>34.93</v>
      </c>
      <c r="K15" s="43" t="n">
        <v>0.45</v>
      </c>
      <c r="L15" s="44" t="n"/>
    </row>
    <row r="16" ht="13" customHeight="1">
      <c r="A16" s="4" t="n">
        <v>21900</v>
      </c>
      <c r="B16" s="40" t="n">
        <v>0</v>
      </c>
      <c r="C16" s="40" t="n">
        <v>0</v>
      </c>
      <c r="D16" s="40" t="n">
        <v>0</v>
      </c>
      <c r="E16" s="41" t="n"/>
      <c r="F16" s="41" t="n"/>
      <c r="G16" s="42" t="n">
        <v>4850</v>
      </c>
      <c r="H16" s="42" t="n">
        <v>708</v>
      </c>
      <c r="I16" s="42" t="n">
        <v>20090</v>
      </c>
      <c r="J16" s="43" t="n">
        <v>34.24</v>
      </c>
      <c r="K16" s="43" t="n">
        <v>0.45</v>
      </c>
      <c r="L16" s="44" t="n"/>
    </row>
    <row r="17" ht="13" customHeight="1">
      <c r="A17" s="6" t="n">
        <v>21950</v>
      </c>
      <c r="B17" s="40" t="n">
        <v>0</v>
      </c>
      <c r="C17" s="40" t="n">
        <v>0</v>
      </c>
      <c r="D17" s="40" t="n">
        <v>0</v>
      </c>
      <c r="E17" s="41" t="n"/>
      <c r="F17" s="41" t="n"/>
      <c r="G17" s="42" t="n">
        <v>3494</v>
      </c>
      <c r="H17" s="42" t="n">
        <v>1010</v>
      </c>
      <c r="I17" s="42" t="n">
        <v>20065</v>
      </c>
      <c r="J17" s="43" t="n">
        <v>33.88</v>
      </c>
      <c r="K17" s="43" t="n">
        <v>0.5</v>
      </c>
      <c r="L17" s="44" t="n"/>
    </row>
    <row r="18" ht="13" customHeight="1">
      <c r="A18" s="4" t="n">
        <v>22000</v>
      </c>
      <c r="B18" s="40" t="n">
        <v>80</v>
      </c>
      <c r="C18" s="40" t="n">
        <v>5</v>
      </c>
      <c r="D18" s="40" t="n">
        <v>34</v>
      </c>
      <c r="E18" s="41" t="n"/>
      <c r="F18" s="41" t="n">
        <v>2279.7</v>
      </c>
      <c r="G18" s="42" t="n">
        <v>66035</v>
      </c>
      <c r="H18" s="42" t="n">
        <v>-40399</v>
      </c>
      <c r="I18" s="42" t="n">
        <v>247033</v>
      </c>
      <c r="J18" s="43" t="n">
        <v>32.87</v>
      </c>
      <c r="K18" s="43" t="n">
        <v>0.45</v>
      </c>
      <c r="L18" s="44" t="n">
        <v>825.4400000000001</v>
      </c>
    </row>
    <row r="19" ht="13" customHeight="1">
      <c r="A19" s="6" t="n">
        <v>22050</v>
      </c>
      <c r="B19" s="40" t="n">
        <v>0</v>
      </c>
      <c r="C19" s="40" t="n">
        <v>0</v>
      </c>
      <c r="D19" s="40" t="n">
        <v>0</v>
      </c>
      <c r="E19" s="41" t="n"/>
      <c r="F19" s="41" t="n"/>
      <c r="G19" s="42" t="n">
        <v>3365</v>
      </c>
      <c r="H19" s="42" t="n">
        <v>985</v>
      </c>
      <c r="I19" s="42" t="n">
        <v>21195</v>
      </c>
      <c r="J19" s="43" t="n">
        <v>32.18</v>
      </c>
      <c r="K19" s="43" t="n">
        <v>0.45</v>
      </c>
      <c r="L19" s="44" t="n"/>
    </row>
    <row r="20" ht="13" customHeight="1">
      <c r="A20" s="4" t="n">
        <v>22100</v>
      </c>
      <c r="B20" s="40" t="n">
        <v>0</v>
      </c>
      <c r="C20" s="40" t="n">
        <v>0</v>
      </c>
      <c r="D20" s="40" t="n">
        <v>0</v>
      </c>
      <c r="E20" s="41" t="n"/>
      <c r="F20" s="41" t="n"/>
      <c r="G20" s="42" t="n">
        <v>6071</v>
      </c>
      <c r="H20" s="42" t="n">
        <v>1606</v>
      </c>
      <c r="I20" s="42" t="n">
        <v>30396</v>
      </c>
      <c r="J20" s="43" t="n">
        <v>32.09</v>
      </c>
      <c r="K20" s="43" t="n">
        <v>0.55</v>
      </c>
      <c r="L20" s="44" t="n"/>
    </row>
    <row r="21" ht="13" customHeight="1">
      <c r="A21" s="6" t="n">
        <v>22150</v>
      </c>
      <c r="B21" s="40" t="n">
        <v>0</v>
      </c>
      <c r="C21" s="40" t="n">
        <v>0</v>
      </c>
      <c r="D21" s="40" t="n">
        <v>0</v>
      </c>
      <c r="E21" s="41" t="n"/>
      <c r="F21" s="41" t="n"/>
      <c r="G21" s="42" t="n">
        <v>3785</v>
      </c>
      <c r="H21" s="42" t="n">
        <v>2209</v>
      </c>
      <c r="I21" s="42" t="n">
        <v>17399</v>
      </c>
      <c r="J21" s="43" t="n">
        <v>31.11</v>
      </c>
      <c r="K21" s="43" t="n">
        <v>0.5</v>
      </c>
      <c r="L21" s="44" t="n"/>
    </row>
    <row r="22" ht="13" customHeight="1">
      <c r="A22" s="4" t="n">
        <v>22200</v>
      </c>
      <c r="B22" s="40" t="n">
        <v>1</v>
      </c>
      <c r="C22" s="40" t="n">
        <v>0</v>
      </c>
      <c r="D22" s="40" t="n">
        <v>1</v>
      </c>
      <c r="E22" s="41" t="n">
        <v>61.6</v>
      </c>
      <c r="F22" s="41" t="n">
        <v>2150</v>
      </c>
      <c r="G22" s="42" t="n">
        <v>10635</v>
      </c>
      <c r="H22" s="42" t="n">
        <v>741</v>
      </c>
      <c r="I22" s="42" t="n">
        <v>45118</v>
      </c>
      <c r="J22" s="43" t="n">
        <v>30.7</v>
      </c>
      <c r="K22" s="43" t="n">
        <v>0.55</v>
      </c>
      <c r="L22" s="44" t="n">
        <v>10635</v>
      </c>
    </row>
    <row r="23" ht="13" customHeight="1">
      <c r="A23" s="6" t="n">
        <v>22250</v>
      </c>
      <c r="B23" s="40" t="n">
        <v>0</v>
      </c>
      <c r="C23" s="40" t="n">
        <v>0</v>
      </c>
      <c r="D23" s="40" t="n">
        <v>0</v>
      </c>
      <c r="E23" s="41" t="n"/>
      <c r="F23" s="41" t="n"/>
      <c r="G23" s="42" t="n">
        <v>4090</v>
      </c>
      <c r="H23" s="42" t="n">
        <v>2523</v>
      </c>
      <c r="I23" s="42" t="n">
        <v>23612</v>
      </c>
      <c r="J23" s="43" t="n">
        <v>30</v>
      </c>
      <c r="K23" s="43" t="n">
        <v>0.55</v>
      </c>
      <c r="L23" s="44" t="n"/>
    </row>
    <row r="24" ht="13" customHeight="1">
      <c r="A24" s="4" t="n">
        <v>22300</v>
      </c>
      <c r="B24" s="40" t="n">
        <v>1</v>
      </c>
      <c r="C24" s="40" t="n">
        <v>0</v>
      </c>
      <c r="D24" s="40" t="n">
        <v>0</v>
      </c>
      <c r="E24" s="41" t="n"/>
      <c r="F24" s="41" t="n">
        <v>1592.85</v>
      </c>
      <c r="G24" s="42" t="n">
        <v>13921</v>
      </c>
      <c r="H24" s="42" t="n">
        <v>2164</v>
      </c>
      <c r="I24" s="42" t="n">
        <v>62450</v>
      </c>
      <c r="J24" s="43" t="n">
        <v>29.56</v>
      </c>
      <c r="K24" s="43" t="n">
        <v>0.6</v>
      </c>
      <c r="L24" s="44" t="n">
        <v>13921</v>
      </c>
    </row>
    <row r="25" ht="13" customHeight="1">
      <c r="A25" s="6" t="n">
        <v>22350</v>
      </c>
      <c r="B25" s="40" t="n">
        <v>0</v>
      </c>
      <c r="C25" s="40" t="n">
        <v>0</v>
      </c>
      <c r="D25" s="40" t="n">
        <v>0</v>
      </c>
      <c r="E25" s="41" t="n"/>
      <c r="F25" s="41" t="n"/>
      <c r="G25" s="42" t="n">
        <v>2317</v>
      </c>
      <c r="H25" s="42" t="n">
        <v>-308</v>
      </c>
      <c r="I25" s="42" t="n">
        <v>12883</v>
      </c>
      <c r="J25" s="43" t="n">
        <v>28.86</v>
      </c>
      <c r="K25" s="43" t="n">
        <v>0.6</v>
      </c>
      <c r="L25" s="44" t="n"/>
    </row>
    <row r="26" ht="13" customHeight="1">
      <c r="A26" s="4" t="n">
        <v>22400</v>
      </c>
      <c r="B26" s="40" t="n">
        <v>0</v>
      </c>
      <c r="C26" s="40" t="n">
        <v>0</v>
      </c>
      <c r="D26" s="40" t="n">
        <v>0</v>
      </c>
      <c r="E26" s="41" t="n"/>
      <c r="F26" s="41" t="n"/>
      <c r="G26" s="42" t="n">
        <v>9603</v>
      </c>
      <c r="H26" s="42" t="n">
        <v>-700</v>
      </c>
      <c r="I26" s="42" t="n">
        <v>40214</v>
      </c>
      <c r="J26" s="43" t="n">
        <v>28.16</v>
      </c>
      <c r="K26" s="43" t="n">
        <v>0.6</v>
      </c>
      <c r="L26" s="44" t="n"/>
    </row>
    <row r="27" ht="13" customHeight="1">
      <c r="A27" s="6" t="n">
        <v>22450</v>
      </c>
      <c r="B27" s="40" t="n">
        <v>1</v>
      </c>
      <c r="C27" s="40" t="n">
        <v>0</v>
      </c>
      <c r="D27" s="40" t="n">
        <v>0</v>
      </c>
      <c r="E27" s="41" t="n">
        <v>59.88</v>
      </c>
      <c r="F27" s="41" t="n">
        <v>1728.4</v>
      </c>
      <c r="G27" s="42" t="n">
        <v>2730</v>
      </c>
      <c r="H27" s="42" t="n">
        <v>176</v>
      </c>
      <c r="I27" s="42" t="n">
        <v>16767</v>
      </c>
      <c r="J27" s="43" t="n">
        <v>27.46</v>
      </c>
      <c r="K27" s="43" t="n">
        <v>0.6</v>
      </c>
      <c r="L27" s="44" t="n">
        <v>2730</v>
      </c>
    </row>
    <row r="28" ht="13" customHeight="1">
      <c r="A28" s="4" t="n">
        <v>22500</v>
      </c>
      <c r="B28" s="40" t="n">
        <v>239</v>
      </c>
      <c r="C28" s="40" t="n">
        <v>-8</v>
      </c>
      <c r="D28" s="40" t="n">
        <v>37</v>
      </c>
      <c r="E28" s="41" t="n"/>
      <c r="F28" s="41" t="n">
        <v>1783.45</v>
      </c>
      <c r="G28" s="42" t="n">
        <v>65654</v>
      </c>
      <c r="H28" s="42" t="n">
        <v>2658</v>
      </c>
      <c r="I28" s="42" t="n">
        <v>230782</v>
      </c>
      <c r="J28" s="43" t="n">
        <v>26.97</v>
      </c>
      <c r="K28" s="43" t="n">
        <v>0.65</v>
      </c>
      <c r="L28" s="44" t="n">
        <v>274.7</v>
      </c>
    </row>
    <row r="29" ht="13" customHeight="1">
      <c r="A29" s="6" t="n">
        <v>22550</v>
      </c>
      <c r="B29" s="40" t="n">
        <v>0</v>
      </c>
      <c r="C29" s="40" t="n">
        <v>0</v>
      </c>
      <c r="D29" s="40" t="n">
        <v>0</v>
      </c>
      <c r="E29" s="41" t="n"/>
      <c r="F29" s="41" t="n"/>
      <c r="G29" s="42" t="n">
        <v>5831</v>
      </c>
      <c r="H29" s="42" t="n">
        <v>1517</v>
      </c>
      <c r="I29" s="42" t="n">
        <v>31354</v>
      </c>
      <c r="J29" s="43" t="n">
        <v>26.83</v>
      </c>
      <c r="K29" s="43" t="n">
        <v>0.8</v>
      </c>
      <c r="L29" s="44" t="n"/>
    </row>
    <row r="30" ht="13" customHeight="1">
      <c r="A30" s="4" t="n">
        <v>22600</v>
      </c>
      <c r="B30" s="40" t="n">
        <v>2</v>
      </c>
      <c r="C30" s="40" t="n">
        <v>1</v>
      </c>
      <c r="D30" s="40" t="n">
        <v>2</v>
      </c>
      <c r="E30" s="41" t="n"/>
      <c r="F30" s="41" t="n">
        <v>1680</v>
      </c>
      <c r="G30" s="42" t="n">
        <v>19885</v>
      </c>
      <c r="H30" s="42" t="n">
        <v>-2074</v>
      </c>
      <c r="I30" s="42" t="n">
        <v>83413</v>
      </c>
      <c r="J30" s="43" t="n">
        <v>25.76</v>
      </c>
      <c r="K30" s="43" t="n">
        <v>0.7</v>
      </c>
      <c r="L30" s="44" t="n">
        <v>9942.5</v>
      </c>
    </row>
    <row r="31" ht="13" customHeight="1">
      <c r="A31" s="6" t="n">
        <v>22650</v>
      </c>
      <c r="B31" s="40" t="n">
        <v>1</v>
      </c>
      <c r="C31" s="40" t="n">
        <v>0</v>
      </c>
      <c r="D31" s="40" t="n">
        <v>1</v>
      </c>
      <c r="E31" s="41" t="n">
        <v>36.89</v>
      </c>
      <c r="F31" s="41" t="n">
        <v>1658</v>
      </c>
      <c r="G31" s="42" t="n">
        <v>9368</v>
      </c>
      <c r="H31" s="42" t="n">
        <v>709</v>
      </c>
      <c r="I31" s="42" t="n">
        <v>37877</v>
      </c>
      <c r="J31" s="43" t="n">
        <v>25.56</v>
      </c>
      <c r="K31" s="43" t="n">
        <v>0.85</v>
      </c>
      <c r="L31" s="44" t="n">
        <v>9368</v>
      </c>
    </row>
    <row r="32" ht="13" customHeight="1">
      <c r="A32" s="4" t="n">
        <v>22700</v>
      </c>
      <c r="B32" s="40" t="n">
        <v>18</v>
      </c>
      <c r="C32" s="40" t="n">
        <v>0</v>
      </c>
      <c r="D32" s="40" t="n">
        <v>0</v>
      </c>
      <c r="E32" s="41" t="n">
        <v>34.37</v>
      </c>
      <c r="F32" s="41" t="n">
        <v>1263.7</v>
      </c>
      <c r="G32" s="42" t="n">
        <v>14181</v>
      </c>
      <c r="H32" s="42" t="n">
        <v>-4088</v>
      </c>
      <c r="I32" s="42" t="n">
        <v>97859</v>
      </c>
      <c r="J32" s="43" t="n">
        <v>24.84</v>
      </c>
      <c r="K32" s="43" t="n">
        <v>0.85</v>
      </c>
      <c r="L32" s="44" t="n">
        <v>787.83</v>
      </c>
    </row>
    <row r="33" ht="13" customHeight="1">
      <c r="A33" s="6" t="n">
        <v>22750</v>
      </c>
      <c r="B33" s="40" t="n">
        <v>0</v>
      </c>
      <c r="C33" s="40" t="n">
        <v>0</v>
      </c>
      <c r="D33" s="40" t="n">
        <v>0</v>
      </c>
      <c r="E33" s="41" t="n"/>
      <c r="F33" s="41" t="n"/>
      <c r="G33" s="42" t="n">
        <v>8548</v>
      </c>
      <c r="H33" s="42" t="n">
        <v>-5710</v>
      </c>
      <c r="I33" s="42" t="n">
        <v>56941</v>
      </c>
      <c r="J33" s="43" t="n">
        <v>24.12</v>
      </c>
      <c r="K33" s="43" t="n">
        <v>0.85</v>
      </c>
      <c r="L33" s="44" t="n"/>
    </row>
    <row r="34" ht="13" customHeight="1">
      <c r="A34" s="4" t="n">
        <v>22800</v>
      </c>
      <c r="B34" s="40" t="n">
        <v>210</v>
      </c>
      <c r="C34" s="40" t="n">
        <v>-1</v>
      </c>
      <c r="D34" s="40" t="n">
        <v>13</v>
      </c>
      <c r="E34" s="41" t="n"/>
      <c r="F34" s="41" t="n">
        <v>1475.05</v>
      </c>
      <c r="G34" s="42" t="n">
        <v>41399</v>
      </c>
      <c r="H34" s="42" t="n">
        <v>-6517</v>
      </c>
      <c r="I34" s="42" t="n">
        <v>202391</v>
      </c>
      <c r="J34" s="43" t="n">
        <v>23.4</v>
      </c>
      <c r="K34" s="43" t="n">
        <v>0.85</v>
      </c>
      <c r="L34" s="44" t="n">
        <v>197.14</v>
      </c>
    </row>
    <row r="35" ht="13" customHeight="1">
      <c r="A35" s="6" t="n">
        <v>22850</v>
      </c>
      <c r="B35" s="40" t="n">
        <v>14</v>
      </c>
      <c r="C35" s="40" t="n">
        <v>0</v>
      </c>
      <c r="D35" s="40" t="n">
        <v>0</v>
      </c>
      <c r="E35" s="41" t="n"/>
      <c r="F35" s="41" t="n">
        <v>1338.95</v>
      </c>
      <c r="G35" s="42" t="n">
        <v>13646</v>
      </c>
      <c r="H35" s="42" t="n">
        <v>2861</v>
      </c>
      <c r="I35" s="42" t="n">
        <v>60851</v>
      </c>
      <c r="J35" s="43" t="n">
        <v>22.81</v>
      </c>
      <c r="K35" s="43" t="n">
        <v>0.9</v>
      </c>
      <c r="L35" s="44" t="n">
        <v>974.71</v>
      </c>
    </row>
    <row r="36" ht="13" customHeight="1">
      <c r="A36" s="4" t="n">
        <v>22900</v>
      </c>
      <c r="B36" s="40" t="n">
        <v>649</v>
      </c>
      <c r="C36" s="40" t="n">
        <v>-1</v>
      </c>
      <c r="D36" s="40" t="n">
        <v>14</v>
      </c>
      <c r="E36" s="41" t="n"/>
      <c r="F36" s="41" t="n">
        <v>1383.25</v>
      </c>
      <c r="G36" s="42" t="n">
        <v>42371</v>
      </c>
      <c r="H36" s="42" t="n">
        <v>-3138</v>
      </c>
      <c r="I36" s="42" t="n">
        <v>237820</v>
      </c>
      <c r="J36" s="43" t="n">
        <v>22.47</v>
      </c>
      <c r="K36" s="43" t="n">
        <v>1.05</v>
      </c>
      <c r="L36" s="44" t="n">
        <v>65.29000000000001</v>
      </c>
    </row>
    <row r="37" ht="13" customHeight="1">
      <c r="A37" s="6" t="n">
        <v>22950</v>
      </c>
      <c r="B37" s="40" t="n">
        <v>6</v>
      </c>
      <c r="C37" s="40" t="n">
        <v>0</v>
      </c>
      <c r="D37" s="40" t="n">
        <v>0</v>
      </c>
      <c r="E37" s="41" t="n">
        <v>24.31</v>
      </c>
      <c r="F37" s="41" t="n">
        <v>1254.85</v>
      </c>
      <c r="G37" s="42" t="n">
        <v>14086</v>
      </c>
      <c r="H37" s="42" t="n">
        <v>809</v>
      </c>
      <c r="I37" s="42" t="n">
        <v>75087</v>
      </c>
      <c r="J37" s="43" t="n">
        <v>21.73</v>
      </c>
      <c r="K37" s="43" t="n">
        <v>1.05</v>
      </c>
      <c r="L37" s="44" t="n">
        <v>2347.67</v>
      </c>
    </row>
    <row r="38" ht="13" customHeight="1">
      <c r="A38" s="4" t="n">
        <v>23000</v>
      </c>
      <c r="B38" s="40" t="n">
        <v>2727</v>
      </c>
      <c r="C38" s="40" t="n">
        <v>-107</v>
      </c>
      <c r="D38" s="40" t="n">
        <v>683</v>
      </c>
      <c r="E38" s="41" t="n"/>
      <c r="F38" s="41" t="n">
        <v>1285.95</v>
      </c>
      <c r="G38" s="42" t="n">
        <v>136789</v>
      </c>
      <c r="H38" s="42" t="n">
        <v>14795</v>
      </c>
      <c r="I38" s="42" t="n">
        <v>677815</v>
      </c>
      <c r="J38" s="43" t="n">
        <v>21.22</v>
      </c>
      <c r="K38" s="43" t="n">
        <v>1.15</v>
      </c>
      <c r="L38" s="44" t="n">
        <v>50.16</v>
      </c>
    </row>
    <row r="39" ht="13" customHeight="1">
      <c r="A39" s="6" t="n">
        <v>23050</v>
      </c>
      <c r="B39" s="40" t="n">
        <v>10</v>
      </c>
      <c r="C39" s="40" t="n">
        <v>0</v>
      </c>
      <c r="D39" s="40" t="n">
        <v>0</v>
      </c>
      <c r="E39" s="41" t="n"/>
      <c r="F39" s="41" t="n">
        <v>1050.2</v>
      </c>
      <c r="G39" s="42" t="n">
        <v>8662</v>
      </c>
      <c r="H39" s="42" t="n">
        <v>-1485</v>
      </c>
      <c r="I39" s="42" t="n">
        <v>72546</v>
      </c>
      <c r="J39" s="43" t="n">
        <v>20.47</v>
      </c>
      <c r="K39" s="43" t="n">
        <v>1.15</v>
      </c>
      <c r="L39" s="44" t="n">
        <v>866.2</v>
      </c>
    </row>
    <row r="40" ht="13" customHeight="1">
      <c r="A40" s="4" t="n">
        <v>23100</v>
      </c>
      <c r="B40" s="40" t="n">
        <v>414</v>
      </c>
      <c r="C40" s="40" t="n">
        <v>-102</v>
      </c>
      <c r="D40" s="40" t="n">
        <v>174</v>
      </c>
      <c r="E40" s="41" t="n"/>
      <c r="F40" s="41" t="n">
        <v>1184.1</v>
      </c>
      <c r="G40" s="42" t="n">
        <v>44797</v>
      </c>
      <c r="H40" s="42" t="n">
        <v>2083</v>
      </c>
      <c r="I40" s="42" t="n">
        <v>384566</v>
      </c>
      <c r="J40" s="43" t="n">
        <v>20.28</v>
      </c>
      <c r="K40" s="43" t="n">
        <v>1.45</v>
      </c>
      <c r="L40" s="44" t="n">
        <v>108.21</v>
      </c>
    </row>
    <row r="41" ht="13" customHeight="1">
      <c r="A41" s="6" t="n">
        <v>23150</v>
      </c>
      <c r="B41" s="40" t="n">
        <v>40</v>
      </c>
      <c r="C41" s="40" t="n">
        <v>-1</v>
      </c>
      <c r="D41" s="40" t="n">
        <v>2</v>
      </c>
      <c r="E41" s="41" t="n"/>
      <c r="F41" s="41" t="n">
        <v>1131.7</v>
      </c>
      <c r="G41" s="42" t="n">
        <v>13996</v>
      </c>
      <c r="H41" s="42" t="n">
        <v>410</v>
      </c>
      <c r="I41" s="42" t="n">
        <v>165724</v>
      </c>
      <c r="J41" s="43" t="n">
        <v>19.76</v>
      </c>
      <c r="K41" s="43" t="n">
        <v>1.6</v>
      </c>
      <c r="L41" s="44" t="n">
        <v>349.9</v>
      </c>
    </row>
    <row r="42" ht="13" customHeight="1">
      <c r="A42" s="4" t="n">
        <v>23200</v>
      </c>
      <c r="B42" s="40" t="n">
        <v>758</v>
      </c>
      <c r="C42" s="40" t="n">
        <v>-35</v>
      </c>
      <c r="D42" s="40" t="n">
        <v>230</v>
      </c>
      <c r="E42" s="41" t="n"/>
      <c r="F42" s="41" t="n">
        <v>1081.85</v>
      </c>
      <c r="G42" s="42" t="n">
        <v>77606</v>
      </c>
      <c r="H42" s="42" t="n">
        <v>5918</v>
      </c>
      <c r="I42" s="42" t="n">
        <v>568349</v>
      </c>
      <c r="J42" s="43" t="n">
        <v>19.06</v>
      </c>
      <c r="K42" s="43" t="n">
        <v>1.65</v>
      </c>
      <c r="L42" s="44" t="n">
        <v>102.38</v>
      </c>
    </row>
    <row r="43" ht="13" customHeight="1">
      <c r="A43" s="6" t="n">
        <v>23250</v>
      </c>
      <c r="B43" s="40" t="n">
        <v>109</v>
      </c>
      <c r="C43" s="40" t="n">
        <v>1</v>
      </c>
      <c r="D43" s="40" t="n">
        <v>37</v>
      </c>
      <c r="E43" s="41" t="n"/>
      <c r="F43" s="41" t="n">
        <v>1031.95</v>
      </c>
      <c r="G43" s="42" t="n">
        <v>21385</v>
      </c>
      <c r="H43" s="42" t="n">
        <v>-7702</v>
      </c>
      <c r="I43" s="42" t="n">
        <v>248595</v>
      </c>
      <c r="J43" s="43" t="n">
        <v>18.42</v>
      </c>
      <c r="K43" s="43" t="n">
        <v>1.75</v>
      </c>
      <c r="L43" s="44" t="n">
        <v>196.19</v>
      </c>
    </row>
    <row r="44" ht="13" customHeight="1">
      <c r="A44" s="4" t="n">
        <v>23300</v>
      </c>
      <c r="B44" s="40" t="n">
        <v>831</v>
      </c>
      <c r="C44" s="40" t="n">
        <v>-215</v>
      </c>
      <c r="D44" s="40" t="n">
        <v>774</v>
      </c>
      <c r="E44" s="41" t="n"/>
      <c r="F44" s="41" t="n">
        <v>985.9</v>
      </c>
      <c r="G44" s="42" t="n">
        <v>86779</v>
      </c>
      <c r="H44" s="42" t="n">
        <v>8623</v>
      </c>
      <c r="I44" s="42" t="n">
        <v>633202</v>
      </c>
      <c r="J44" s="43" t="n">
        <v>17.57</v>
      </c>
      <c r="K44" s="43" t="n">
        <v>1.7</v>
      </c>
      <c r="L44" s="44" t="n">
        <v>104.43</v>
      </c>
    </row>
    <row r="45" ht="13" customHeight="1">
      <c r="A45" s="6" t="n">
        <v>23350</v>
      </c>
      <c r="B45" s="40" t="n">
        <v>484</v>
      </c>
      <c r="C45" s="40" t="n">
        <v>8</v>
      </c>
      <c r="D45" s="40" t="n">
        <v>229</v>
      </c>
      <c r="E45" s="41" t="n"/>
      <c r="F45" s="41" t="n">
        <v>936.65</v>
      </c>
      <c r="G45" s="42" t="n">
        <v>24964</v>
      </c>
      <c r="H45" s="42" t="n">
        <v>3975</v>
      </c>
      <c r="I45" s="42" t="n">
        <v>222605</v>
      </c>
      <c r="J45" s="43" t="n">
        <v>16.97</v>
      </c>
      <c r="K45" s="43" t="n">
        <v>1.85</v>
      </c>
      <c r="L45" s="44" t="n">
        <v>51.58</v>
      </c>
    </row>
    <row r="46" ht="13" customHeight="1">
      <c r="A46" s="4" t="n">
        <v>23400</v>
      </c>
      <c r="B46" s="40" t="n">
        <v>1732</v>
      </c>
      <c r="C46" s="40" t="n">
        <v>-266</v>
      </c>
      <c r="D46" s="40" t="n">
        <v>1226</v>
      </c>
      <c r="E46" s="41" t="n"/>
      <c r="F46" s="41" t="n">
        <v>886.7</v>
      </c>
      <c r="G46" s="42" t="n">
        <v>61532</v>
      </c>
      <c r="H46" s="42" t="n">
        <v>-33466</v>
      </c>
      <c r="I46" s="42" t="n">
        <v>756685</v>
      </c>
      <c r="J46" s="43" t="n">
        <v>16.46</v>
      </c>
      <c r="K46" s="43" t="n">
        <v>2.1</v>
      </c>
      <c r="L46" s="44" t="n">
        <v>35.53</v>
      </c>
    </row>
    <row r="47" ht="13" customHeight="1">
      <c r="A47" s="6" t="n">
        <v>23450</v>
      </c>
      <c r="B47" s="40" t="n">
        <v>359</v>
      </c>
      <c r="C47" s="40" t="n">
        <v>20</v>
      </c>
      <c r="D47" s="40" t="n">
        <v>516</v>
      </c>
      <c r="E47" s="41" t="n"/>
      <c r="F47" s="41" t="n">
        <v>836.95</v>
      </c>
      <c r="G47" s="42" t="n">
        <v>20834</v>
      </c>
      <c r="H47" s="42" t="n">
        <v>-2723</v>
      </c>
      <c r="I47" s="42" t="n">
        <v>371688</v>
      </c>
      <c r="J47" s="43" t="n">
        <v>16.1</v>
      </c>
      <c r="K47" s="43" t="n">
        <v>2.55</v>
      </c>
      <c r="L47" s="44" t="n">
        <v>58.03</v>
      </c>
    </row>
    <row r="48" ht="13" customHeight="1">
      <c r="A48" s="4" t="n">
        <v>23500</v>
      </c>
      <c r="B48" s="40" t="n">
        <v>4761</v>
      </c>
      <c r="C48" s="40" t="n">
        <v>-776</v>
      </c>
      <c r="D48" s="40" t="n">
        <v>4764</v>
      </c>
      <c r="E48" s="41" t="n"/>
      <c r="F48" s="41" t="n">
        <v>786.45</v>
      </c>
      <c r="G48" s="42" t="n">
        <v>143714</v>
      </c>
      <c r="H48" s="42" t="n">
        <v>14202</v>
      </c>
      <c r="I48" s="42" t="n">
        <v>1031520</v>
      </c>
      <c r="J48" s="43" t="n">
        <v>15.56</v>
      </c>
      <c r="K48" s="43" t="n">
        <v>2.9</v>
      </c>
      <c r="L48" s="44" t="n">
        <v>30.19</v>
      </c>
    </row>
    <row r="49" ht="13" customHeight="1">
      <c r="A49" s="6" t="n">
        <v>23550</v>
      </c>
      <c r="B49" s="40" t="n">
        <v>386</v>
      </c>
      <c r="C49" s="40" t="n">
        <v>-13</v>
      </c>
      <c r="D49" s="40" t="n">
        <v>233</v>
      </c>
      <c r="E49" s="41" t="n"/>
      <c r="F49" s="41" t="n">
        <v>735.75</v>
      </c>
      <c r="G49" s="42" t="n">
        <v>30478</v>
      </c>
      <c r="H49" s="42" t="n">
        <v>-675</v>
      </c>
      <c r="I49" s="42" t="n">
        <v>417303</v>
      </c>
      <c r="J49" s="43" t="n">
        <v>14.76</v>
      </c>
      <c r="K49" s="43" t="n">
        <v>2.95</v>
      </c>
      <c r="L49" s="44" t="n">
        <v>78.95999999999999</v>
      </c>
    </row>
    <row r="50" ht="13" customHeight="1">
      <c r="A50" s="4" t="n">
        <v>23600</v>
      </c>
      <c r="B50" s="40" t="n">
        <v>1868</v>
      </c>
      <c r="C50" s="40" t="n">
        <v>-922</v>
      </c>
      <c r="D50" s="40" t="n">
        <v>2996</v>
      </c>
      <c r="E50" s="41" t="n"/>
      <c r="F50" s="41" t="n">
        <v>686.45</v>
      </c>
      <c r="G50" s="42" t="n">
        <v>90643</v>
      </c>
      <c r="H50" s="42" t="n">
        <v>-5392</v>
      </c>
      <c r="I50" s="42" t="n">
        <v>816393</v>
      </c>
      <c r="J50" s="43" t="n">
        <v>14.19</v>
      </c>
      <c r="K50" s="43" t="n">
        <v>3.35</v>
      </c>
      <c r="L50" s="44" t="n">
        <v>48.52</v>
      </c>
    </row>
    <row r="51" ht="13" customHeight="1">
      <c r="A51" s="6" t="n">
        <v>23650</v>
      </c>
      <c r="B51" s="40" t="n">
        <v>616</v>
      </c>
      <c r="C51" s="40" t="n">
        <v>-114</v>
      </c>
      <c r="D51" s="40" t="n">
        <v>708</v>
      </c>
      <c r="E51" s="41" t="n"/>
      <c r="F51" s="41" t="n">
        <v>634.05</v>
      </c>
      <c r="G51" s="42" t="n">
        <v>49293</v>
      </c>
      <c r="H51" s="42" t="n">
        <v>10605</v>
      </c>
      <c r="I51" s="42" t="n">
        <v>496733</v>
      </c>
      <c r="J51" s="43" t="n">
        <v>13.57</v>
      </c>
      <c r="K51" s="43" t="n">
        <v>3.75</v>
      </c>
      <c r="L51" s="44" t="n">
        <v>80.02</v>
      </c>
    </row>
    <row r="52" ht="13" customHeight="1">
      <c r="A52" s="4" t="n">
        <v>23700</v>
      </c>
      <c r="B52" s="40" t="n">
        <v>2712</v>
      </c>
      <c r="C52" s="40" t="n">
        <v>-1442</v>
      </c>
      <c r="D52" s="40" t="n">
        <v>5202</v>
      </c>
      <c r="E52" s="41" t="n"/>
      <c r="F52" s="41" t="n">
        <v>588.5</v>
      </c>
      <c r="G52" s="42" t="n">
        <v>69265</v>
      </c>
      <c r="H52" s="42" t="n">
        <v>-8651</v>
      </c>
      <c r="I52" s="42" t="n">
        <v>749474</v>
      </c>
      <c r="J52" s="43" t="n">
        <v>12.93</v>
      </c>
      <c r="K52" s="43" t="n">
        <v>4.2</v>
      </c>
      <c r="L52" s="44" t="n">
        <v>25.54</v>
      </c>
    </row>
    <row r="53" ht="13" customHeight="1">
      <c r="A53" s="6" t="n">
        <v>23750</v>
      </c>
      <c r="B53" s="40" t="n">
        <v>1519</v>
      </c>
      <c r="C53" s="40" t="n">
        <v>-313</v>
      </c>
      <c r="D53" s="40" t="n">
        <v>2113</v>
      </c>
      <c r="E53" s="41" t="n"/>
      <c r="F53" s="41" t="n">
        <v>525.5</v>
      </c>
      <c r="G53" s="42" t="n">
        <v>49564</v>
      </c>
      <c r="H53" s="42" t="n">
        <v>14807</v>
      </c>
      <c r="I53" s="42" t="n">
        <v>464110</v>
      </c>
      <c r="J53" s="43" t="n">
        <v>12.34</v>
      </c>
      <c r="K53" s="43" t="n">
        <v>4.85</v>
      </c>
      <c r="L53" s="44" t="n">
        <v>32.63</v>
      </c>
    </row>
    <row r="54" ht="13" customHeight="1">
      <c r="A54" s="4" t="n">
        <v>23800</v>
      </c>
      <c r="B54" s="40" t="n">
        <v>12160</v>
      </c>
      <c r="C54" s="40" t="n">
        <v>-2216</v>
      </c>
      <c r="D54" s="40" t="n">
        <v>16358</v>
      </c>
      <c r="E54" s="41" t="n"/>
      <c r="F54" s="41" t="n">
        <v>485</v>
      </c>
      <c r="G54" s="42" t="n">
        <v>125863</v>
      </c>
      <c r="H54" s="42" t="n">
        <v>23136</v>
      </c>
      <c r="I54" s="42" t="n">
        <v>944888</v>
      </c>
      <c r="J54" s="43" t="n">
        <v>11.81</v>
      </c>
      <c r="K54" s="43" t="n">
        <v>5.8</v>
      </c>
      <c r="L54" s="44" t="n">
        <v>10.35</v>
      </c>
    </row>
    <row r="55" ht="13" customHeight="1">
      <c r="A55" s="6" t="n">
        <v>23850</v>
      </c>
      <c r="B55" s="40" t="n">
        <v>1936</v>
      </c>
      <c r="C55" s="40" t="n">
        <v>-1613</v>
      </c>
      <c r="D55" s="40" t="n">
        <v>5711</v>
      </c>
      <c r="E55" s="41" t="n"/>
      <c r="F55" s="41" t="n">
        <v>438.15</v>
      </c>
      <c r="G55" s="42" t="n">
        <v>67141</v>
      </c>
      <c r="H55" s="42" t="n">
        <v>18621</v>
      </c>
      <c r="I55" s="42" t="n">
        <v>577558</v>
      </c>
      <c r="J55" s="43" t="n">
        <v>11.33</v>
      </c>
      <c r="K55" s="43" t="n">
        <v>7.15</v>
      </c>
      <c r="L55" s="44" t="n">
        <v>34.68</v>
      </c>
    </row>
    <row r="56" ht="13" customHeight="1">
      <c r="A56" s="4" t="n">
        <v>23900</v>
      </c>
      <c r="B56" s="40" t="n">
        <v>26263</v>
      </c>
      <c r="C56" s="40" t="n">
        <v>-3896</v>
      </c>
      <c r="D56" s="40" t="n">
        <v>33404</v>
      </c>
      <c r="E56" s="41" t="n"/>
      <c r="F56" s="41" t="n">
        <v>388.05</v>
      </c>
      <c r="G56" s="42" t="n">
        <v>147386</v>
      </c>
      <c r="H56" s="42" t="n">
        <v>17376</v>
      </c>
      <c r="I56" s="42" t="n">
        <v>1100447</v>
      </c>
      <c r="J56" s="43" t="n">
        <v>10.95</v>
      </c>
      <c r="K56" s="43" t="n">
        <v>9.300000000000001</v>
      </c>
      <c r="L56" s="44" t="n">
        <v>5.61</v>
      </c>
    </row>
    <row r="57" ht="13" customHeight="1">
      <c r="A57" s="6" t="n">
        <v>23950</v>
      </c>
      <c r="B57" s="40" t="n">
        <v>7663</v>
      </c>
      <c r="C57" s="40" t="n">
        <v>-2668</v>
      </c>
      <c r="D57" s="40" t="n">
        <v>21071</v>
      </c>
      <c r="E57" s="41" t="n"/>
      <c r="F57" s="41" t="n">
        <v>341.1</v>
      </c>
      <c r="G57" s="42" t="n">
        <v>68419</v>
      </c>
      <c r="H57" s="42" t="n">
        <v>6592</v>
      </c>
      <c r="I57" s="42" t="n">
        <v>756767</v>
      </c>
      <c r="J57" s="43" t="n">
        <v>10.52</v>
      </c>
      <c r="K57" s="43" t="n">
        <v>11.9</v>
      </c>
      <c r="L57" s="44" t="n">
        <v>8.93</v>
      </c>
    </row>
    <row r="58" ht="13" customHeight="1">
      <c r="A58" s="45" t="n">
        <v>24000</v>
      </c>
      <c r="B58" s="46" t="n">
        <v>69474</v>
      </c>
      <c r="C58" s="46" t="n">
        <v>-15855</v>
      </c>
      <c r="D58" s="46" t="n">
        <v>254199</v>
      </c>
      <c r="E58" s="47" t="n"/>
      <c r="F58" s="47" t="n">
        <v>294.3</v>
      </c>
      <c r="G58" s="46" t="n">
        <v>214322</v>
      </c>
      <c r="H58" s="46" t="n">
        <v>23751</v>
      </c>
      <c r="I58" s="46" t="n">
        <v>2297342</v>
      </c>
      <c r="J58" s="47" t="n">
        <v>10.16</v>
      </c>
      <c r="K58" s="47" t="n">
        <v>15.65</v>
      </c>
      <c r="L58" s="48" t="n">
        <v>3.08</v>
      </c>
    </row>
    <row r="59" ht="13" customHeight="1">
      <c r="A59" s="6" t="n">
        <v>24050</v>
      </c>
      <c r="B59" s="40" t="n">
        <v>19774</v>
      </c>
      <c r="C59" s="40" t="n">
        <v>-16671</v>
      </c>
      <c r="D59" s="40" t="n">
        <v>81988</v>
      </c>
      <c r="E59" s="41" t="n">
        <v>6.1</v>
      </c>
      <c r="F59" s="41" t="n">
        <v>250.75</v>
      </c>
      <c r="G59" s="42" t="n">
        <v>72411</v>
      </c>
      <c r="H59" s="42" t="n">
        <v>-25114</v>
      </c>
      <c r="I59" s="42" t="n">
        <v>1104911</v>
      </c>
      <c r="J59" s="43" t="n">
        <v>9.800000000000001</v>
      </c>
      <c r="K59" s="43" t="n">
        <v>20.7</v>
      </c>
      <c r="L59" s="44" t="n">
        <v>3.66</v>
      </c>
    </row>
    <row r="60" ht="13" customHeight="1">
      <c r="A60" s="4" t="n">
        <v>24100</v>
      </c>
      <c r="B60" s="40" t="n">
        <v>30325</v>
      </c>
      <c r="C60" s="40" t="n">
        <v>-38959</v>
      </c>
      <c r="D60" s="40" t="n">
        <v>388639</v>
      </c>
      <c r="E60" s="41" t="n">
        <v>7.09</v>
      </c>
      <c r="F60" s="41" t="n">
        <v>209.55</v>
      </c>
      <c r="G60" s="42" t="n">
        <v>122273</v>
      </c>
      <c r="H60" s="42" t="n">
        <v>-22546</v>
      </c>
      <c r="I60" s="42" t="n">
        <v>2200726</v>
      </c>
      <c r="J60" s="43" t="n">
        <v>9.550000000000001</v>
      </c>
      <c r="K60" s="43" t="n">
        <v>28.2</v>
      </c>
      <c r="L60" s="44" t="n">
        <v>4.03</v>
      </c>
    </row>
    <row r="61" ht="13" customHeight="1">
      <c r="A61" s="6" t="n">
        <v>24150</v>
      </c>
      <c r="B61" s="40" t="n">
        <v>18595</v>
      </c>
      <c r="C61" s="40" t="n">
        <v>-28259</v>
      </c>
      <c r="D61" s="40" t="n">
        <v>333910</v>
      </c>
      <c r="E61" s="41" t="n">
        <v>7.24</v>
      </c>
      <c r="F61" s="41" t="n">
        <v>169.2</v>
      </c>
      <c r="G61" s="42" t="n">
        <v>68062</v>
      </c>
      <c r="H61" s="42" t="n">
        <v>5960</v>
      </c>
      <c r="I61" s="42" t="n">
        <v>1601716</v>
      </c>
      <c r="J61" s="43" t="n">
        <v>9.289999999999999</v>
      </c>
      <c r="K61" s="43" t="n">
        <v>38.05</v>
      </c>
      <c r="L61" s="44" t="n">
        <v>3.66</v>
      </c>
    </row>
    <row r="62" ht="13" customHeight="1">
      <c r="A62" s="4" t="n">
        <v>24200</v>
      </c>
      <c r="B62" s="40" t="n">
        <v>76421</v>
      </c>
      <c r="C62" s="40" t="n">
        <v>-39986</v>
      </c>
      <c r="D62" s="40" t="n">
        <v>1554018</v>
      </c>
      <c r="E62" s="41" t="n">
        <v>7.26</v>
      </c>
      <c r="F62" s="41" t="n">
        <v>132.15</v>
      </c>
      <c r="G62" s="42" t="n">
        <v>127871</v>
      </c>
      <c r="H62" s="42" t="n">
        <v>53678</v>
      </c>
      <c r="I62" s="42" t="n">
        <v>3519326</v>
      </c>
      <c r="J62" s="43" t="n">
        <v>9.15</v>
      </c>
      <c r="K62" s="43" t="n">
        <v>51.95</v>
      </c>
      <c r="L62" s="44" t="n">
        <v>1.67</v>
      </c>
    </row>
    <row r="63" ht="13" customHeight="1">
      <c r="A63" s="6" t="n">
        <v>24250</v>
      </c>
      <c r="B63" s="40" t="n">
        <v>45575</v>
      </c>
      <c r="C63" s="40" t="n">
        <v>13810</v>
      </c>
      <c r="D63" s="40" t="n">
        <v>1913331</v>
      </c>
      <c r="E63" s="41" t="n">
        <v>7.52</v>
      </c>
      <c r="F63" s="41" t="n">
        <v>102.15</v>
      </c>
      <c r="G63" s="42" t="n">
        <v>52439</v>
      </c>
      <c r="H63" s="42" t="n">
        <v>40444</v>
      </c>
      <c r="I63" s="42" t="n">
        <v>3171258</v>
      </c>
      <c r="J63" s="43" t="n">
        <v>9.15</v>
      </c>
      <c r="K63" s="43" t="n">
        <v>70.84999999999999</v>
      </c>
      <c r="L63" s="44" t="n">
        <v>1.15</v>
      </c>
    </row>
    <row r="64" ht="13" customHeight="1">
      <c r="A64" s="4" t="n">
        <v>24300</v>
      </c>
      <c r="B64" s="40" t="n">
        <v>167273</v>
      </c>
      <c r="C64" s="40" t="n">
        <v>91309</v>
      </c>
      <c r="D64" s="40" t="n">
        <v>5789030</v>
      </c>
      <c r="E64" s="41" t="n">
        <v>7.56</v>
      </c>
      <c r="F64" s="41" t="n">
        <v>75.40000000000001</v>
      </c>
      <c r="G64" s="42" t="n">
        <v>95985</v>
      </c>
      <c r="H64" s="42" t="n">
        <v>75188</v>
      </c>
      <c r="I64" s="42" t="n">
        <v>6888138</v>
      </c>
      <c r="J64" s="43" t="n">
        <v>9.109999999999999</v>
      </c>
      <c r="K64" s="43" t="n">
        <v>93.65000000000001</v>
      </c>
      <c r="L64" s="44" t="n">
        <v>0.57</v>
      </c>
    </row>
    <row r="65" ht="13" customHeight="1">
      <c r="A65" s="6" t="n">
        <v>24350</v>
      </c>
      <c r="B65" s="40" t="n">
        <v>116100</v>
      </c>
      <c r="C65" s="40" t="n">
        <v>83834</v>
      </c>
      <c r="D65" s="40" t="n">
        <v>4979130</v>
      </c>
      <c r="E65" s="41" t="n">
        <v>7.59</v>
      </c>
      <c r="F65" s="41" t="n">
        <v>53.6</v>
      </c>
      <c r="G65" s="42" t="n">
        <v>34319</v>
      </c>
      <c r="H65" s="42" t="n">
        <v>31039</v>
      </c>
      <c r="I65" s="42" t="n">
        <v>4052826</v>
      </c>
      <c r="J65" s="43" t="n">
        <v>9.25</v>
      </c>
      <c r="K65" s="43" t="n">
        <v>122.4</v>
      </c>
      <c r="L65" s="44" t="n">
        <v>0.3</v>
      </c>
    </row>
    <row r="66" ht="13" customHeight="1">
      <c r="A66" s="4" t="n">
        <v>24400</v>
      </c>
      <c r="B66" s="40" t="n">
        <v>174995</v>
      </c>
      <c r="C66" s="40" t="n">
        <v>76040</v>
      </c>
      <c r="D66" s="40" t="n">
        <v>5257012</v>
      </c>
      <c r="E66" s="41" t="n">
        <v>7.67</v>
      </c>
      <c r="F66" s="41" t="n">
        <v>37.15</v>
      </c>
      <c r="G66" s="42" t="n">
        <v>25702</v>
      </c>
      <c r="H66" s="42" t="n">
        <v>19325</v>
      </c>
      <c r="I66" s="42" t="n">
        <v>3082587</v>
      </c>
      <c r="J66" s="43" t="n">
        <v>9.35</v>
      </c>
      <c r="K66" s="43" t="n">
        <v>154.85</v>
      </c>
      <c r="L66" s="44" t="n">
        <v>0.15</v>
      </c>
    </row>
    <row r="67" ht="13" customHeight="1">
      <c r="A67" s="6" t="n">
        <v>24450</v>
      </c>
      <c r="B67" s="40" t="n">
        <v>59543</v>
      </c>
      <c r="C67" s="40" t="n">
        <v>28251</v>
      </c>
      <c r="D67" s="40" t="n">
        <v>2076641</v>
      </c>
      <c r="E67" s="41" t="n">
        <v>7.81</v>
      </c>
      <c r="F67" s="41" t="n">
        <v>25.4</v>
      </c>
      <c r="G67" s="42" t="n">
        <v>5340</v>
      </c>
      <c r="H67" s="42" t="n">
        <v>3758</v>
      </c>
      <c r="I67" s="42" t="n">
        <v>652564</v>
      </c>
      <c r="J67" s="43" t="n">
        <v>9.710000000000001</v>
      </c>
      <c r="K67" s="43" t="n">
        <v>193.1</v>
      </c>
      <c r="L67" s="44" t="n">
        <v>0.09</v>
      </c>
    </row>
    <row r="68" ht="13" customHeight="1">
      <c r="A68" s="4" t="n">
        <v>24500</v>
      </c>
      <c r="B68" s="40" t="n">
        <v>175539</v>
      </c>
      <c r="C68" s="40" t="n">
        <v>43368</v>
      </c>
      <c r="D68" s="40" t="n">
        <v>3824979</v>
      </c>
      <c r="E68" s="41" t="n">
        <v>7.97</v>
      </c>
      <c r="F68" s="41" t="n">
        <v>17.1</v>
      </c>
      <c r="G68" s="42" t="n">
        <v>21007</v>
      </c>
      <c r="H68" s="42" t="n">
        <v>5828</v>
      </c>
      <c r="I68" s="42" t="n">
        <v>972150</v>
      </c>
      <c r="J68" s="43" t="n">
        <v>10.19</v>
      </c>
      <c r="K68" s="43" t="n">
        <v>234.8</v>
      </c>
      <c r="L68" s="44" t="n">
        <v>0.12</v>
      </c>
    </row>
    <row r="69" ht="13" customHeight="1">
      <c r="A69" s="6" t="n">
        <v>24550</v>
      </c>
      <c r="B69" s="40" t="n">
        <v>68778</v>
      </c>
      <c r="C69" s="40" t="n">
        <v>32589</v>
      </c>
      <c r="D69" s="40" t="n">
        <v>1719610</v>
      </c>
      <c r="E69" s="41" t="n">
        <v>8.09</v>
      </c>
      <c r="F69" s="41" t="n">
        <v>11.1</v>
      </c>
      <c r="G69" s="42" t="n">
        <v>2288</v>
      </c>
      <c r="H69" s="42" t="n">
        <v>1677</v>
      </c>
      <c r="I69" s="42" t="n">
        <v>132010</v>
      </c>
      <c r="J69" s="43" t="n">
        <v>10.66</v>
      </c>
      <c r="K69" s="43" t="n">
        <v>278.3</v>
      </c>
      <c r="L69" s="44" t="n">
        <v>0.03</v>
      </c>
    </row>
    <row r="70" ht="13" customHeight="1">
      <c r="A70" s="4" t="n">
        <v>24600</v>
      </c>
      <c r="B70" s="40" t="n">
        <v>134499</v>
      </c>
      <c r="C70" s="40" t="n">
        <v>25920</v>
      </c>
      <c r="D70" s="40" t="n">
        <v>2539013</v>
      </c>
      <c r="E70" s="41" t="n">
        <v>8.35</v>
      </c>
      <c r="F70" s="41" t="n">
        <v>7.55</v>
      </c>
      <c r="G70" s="42" t="n">
        <v>4100</v>
      </c>
      <c r="H70" s="42" t="n">
        <v>2015</v>
      </c>
      <c r="I70" s="42" t="n">
        <v>150149</v>
      </c>
      <c r="J70" s="43" t="n">
        <v>11.48</v>
      </c>
      <c r="K70" s="43" t="n">
        <v>325.3</v>
      </c>
      <c r="L70" s="44" t="n">
        <v>0.03</v>
      </c>
    </row>
    <row r="71" ht="13" customHeight="1">
      <c r="A71" s="6" t="n">
        <v>24650</v>
      </c>
      <c r="B71" s="40" t="n">
        <v>64679</v>
      </c>
      <c r="C71" s="40" t="n">
        <v>35930</v>
      </c>
      <c r="D71" s="40" t="n">
        <v>1018285</v>
      </c>
      <c r="E71" s="41" t="n">
        <v>8.68</v>
      </c>
      <c r="F71" s="41" t="n">
        <v>5.35</v>
      </c>
      <c r="G71" s="42" t="n">
        <v>621</v>
      </c>
      <c r="H71" s="42" t="n">
        <v>380</v>
      </c>
      <c r="I71" s="42" t="n">
        <v>24323</v>
      </c>
      <c r="J71" s="43" t="n">
        <v>11.66</v>
      </c>
      <c r="K71" s="43" t="n">
        <v>369.6</v>
      </c>
      <c r="L71" s="44" t="n">
        <v>0.01</v>
      </c>
    </row>
    <row r="72" ht="13" customHeight="1">
      <c r="A72" s="4" t="n">
        <v>24700</v>
      </c>
      <c r="B72" s="40" t="n">
        <v>113805</v>
      </c>
      <c r="C72" s="40" t="n">
        <v>34670</v>
      </c>
      <c r="D72" s="40" t="n">
        <v>1247664</v>
      </c>
      <c r="E72" s="41" t="n">
        <v>9.050000000000001</v>
      </c>
      <c r="F72" s="41" t="n">
        <v>3.9</v>
      </c>
      <c r="G72" s="42" t="n">
        <v>1240</v>
      </c>
      <c r="H72" s="42" t="n">
        <v>654</v>
      </c>
      <c r="I72" s="42" t="n">
        <v>32165</v>
      </c>
      <c r="J72" s="43" t="n">
        <v>12.48</v>
      </c>
      <c r="K72" s="43" t="n">
        <v>418</v>
      </c>
      <c r="L72" s="44" t="n">
        <v>0.01</v>
      </c>
    </row>
    <row r="73" ht="13" customHeight="1">
      <c r="A73" s="6" t="n">
        <v>24750</v>
      </c>
      <c r="B73" s="40" t="n">
        <v>57031</v>
      </c>
      <c r="C73" s="40" t="n">
        <v>29433</v>
      </c>
      <c r="D73" s="40" t="n">
        <v>701900</v>
      </c>
      <c r="E73" s="41" t="n">
        <v>9.65</v>
      </c>
      <c r="F73" s="41" t="n">
        <v>3.3</v>
      </c>
      <c r="G73" s="42" t="n">
        <v>381</v>
      </c>
      <c r="H73" s="42" t="n">
        <v>245</v>
      </c>
      <c r="I73" s="42" t="n">
        <v>6160</v>
      </c>
      <c r="J73" s="43" t="n">
        <v>14.34</v>
      </c>
      <c r="K73" s="43" t="n">
        <v>471.45</v>
      </c>
      <c r="L73" s="44" t="n">
        <v>0.01</v>
      </c>
    </row>
    <row r="74" ht="13" customHeight="1">
      <c r="A74" s="4" t="n">
        <v>24800</v>
      </c>
      <c r="B74" s="40" t="n">
        <v>113362</v>
      </c>
      <c r="C74" s="40" t="n">
        <v>50362</v>
      </c>
      <c r="D74" s="40" t="n">
        <v>901872</v>
      </c>
      <c r="E74" s="41" t="n">
        <v>10.19</v>
      </c>
      <c r="F74" s="41" t="n">
        <v>2.75</v>
      </c>
      <c r="G74" s="42" t="n">
        <v>847</v>
      </c>
      <c r="H74" s="42" t="n">
        <v>268</v>
      </c>
      <c r="I74" s="42" t="n">
        <v>14853</v>
      </c>
      <c r="J74" s="43" t="n">
        <v>14.9</v>
      </c>
      <c r="K74" s="43" t="n">
        <v>518.95</v>
      </c>
      <c r="L74" s="44" t="n">
        <v>0.01</v>
      </c>
    </row>
    <row r="75" ht="13" customHeight="1">
      <c r="A75" s="6" t="n">
        <v>24850</v>
      </c>
      <c r="B75" s="40" t="n">
        <v>36166</v>
      </c>
      <c r="C75" s="40" t="n">
        <v>20018</v>
      </c>
      <c r="D75" s="40" t="n">
        <v>514440</v>
      </c>
      <c r="E75" s="41" t="n">
        <v>10.74</v>
      </c>
      <c r="F75" s="41" t="n">
        <v>2.35</v>
      </c>
      <c r="G75" s="42" t="n">
        <v>149</v>
      </c>
      <c r="H75" s="42" t="n">
        <v>89</v>
      </c>
      <c r="I75" s="42" t="n">
        <v>1557</v>
      </c>
      <c r="J75" s="43" t="n">
        <v>15.71</v>
      </c>
      <c r="K75" s="43" t="n">
        <v>567.85</v>
      </c>
      <c r="L75" s="44" t="n">
        <v>0</v>
      </c>
    </row>
    <row r="76" ht="13" customHeight="1">
      <c r="A76" s="4" t="n">
        <v>24900</v>
      </c>
      <c r="B76" s="40" t="n">
        <v>68584</v>
      </c>
      <c r="C76" s="40" t="n">
        <v>30482</v>
      </c>
      <c r="D76" s="40" t="n">
        <v>667623</v>
      </c>
      <c r="E76" s="41" t="n">
        <v>11.35</v>
      </c>
      <c r="F76" s="41" t="n">
        <v>2.1</v>
      </c>
      <c r="G76" s="42" t="n">
        <v>374</v>
      </c>
      <c r="H76" s="42" t="n">
        <v>139</v>
      </c>
      <c r="I76" s="42" t="n">
        <v>2485</v>
      </c>
      <c r="J76" s="43" t="n">
        <v>17.17</v>
      </c>
      <c r="K76" s="43" t="n">
        <v>619.45</v>
      </c>
      <c r="L76" s="44" t="n">
        <v>0.01</v>
      </c>
    </row>
    <row r="77" ht="13" customHeight="1">
      <c r="A77" s="6" t="n">
        <v>24950</v>
      </c>
      <c r="B77" s="40" t="n">
        <v>28385</v>
      </c>
      <c r="C77" s="40" t="n">
        <v>19373</v>
      </c>
      <c r="D77" s="40" t="n">
        <v>380301</v>
      </c>
      <c r="E77" s="41" t="n">
        <v>12.05</v>
      </c>
      <c r="F77" s="41" t="n">
        <v>2</v>
      </c>
      <c r="G77" s="42" t="n">
        <v>38</v>
      </c>
      <c r="H77" s="42" t="n">
        <v>19</v>
      </c>
      <c r="I77" s="42" t="n">
        <v>102</v>
      </c>
      <c r="J77" s="43" t="n">
        <v>17.52</v>
      </c>
      <c r="K77" s="43" t="n">
        <v>666.8</v>
      </c>
      <c r="L77" s="44" t="n">
        <v>0</v>
      </c>
    </row>
    <row r="78" ht="13" customHeight="1">
      <c r="A78" s="4" t="n">
        <v>25000</v>
      </c>
      <c r="B78" s="40" t="n">
        <v>185715</v>
      </c>
      <c r="C78" s="40" t="n">
        <v>44895</v>
      </c>
      <c r="D78" s="40" t="n">
        <v>1241586</v>
      </c>
      <c r="E78" s="41" t="n">
        <v>12.58</v>
      </c>
      <c r="F78" s="41" t="n">
        <v>1.75</v>
      </c>
      <c r="G78" s="42" t="n">
        <v>7908</v>
      </c>
      <c r="H78" s="42" t="n">
        <v>1403</v>
      </c>
      <c r="I78" s="42" t="n">
        <v>9719</v>
      </c>
      <c r="J78" s="43" t="n">
        <v>19.07</v>
      </c>
      <c r="K78" s="43" t="n">
        <v>718.7</v>
      </c>
      <c r="L78" s="44" t="n">
        <v>0.04</v>
      </c>
    </row>
    <row r="79" ht="13" customHeight="1">
      <c r="A79" s="6" t="n">
        <v>25050</v>
      </c>
      <c r="B79" s="40" t="n">
        <v>19200</v>
      </c>
      <c r="C79" s="40" t="n">
        <v>8267</v>
      </c>
      <c r="D79" s="40" t="n">
        <v>302594</v>
      </c>
      <c r="E79" s="41" t="n">
        <v>13.17</v>
      </c>
      <c r="F79" s="41" t="n">
        <v>1.6</v>
      </c>
      <c r="G79" s="42" t="n">
        <v>33</v>
      </c>
      <c r="H79" s="42" t="n">
        <v>14</v>
      </c>
      <c r="I79" s="42" t="n">
        <v>83</v>
      </c>
      <c r="J79" s="43" t="n">
        <v>19.91</v>
      </c>
      <c r="K79" s="43" t="n">
        <v>768.05</v>
      </c>
      <c r="L79" s="44" t="n">
        <v>0</v>
      </c>
    </row>
    <row r="80" ht="13" customHeight="1">
      <c r="A80" s="4" t="n">
        <v>25100</v>
      </c>
      <c r="B80" s="40" t="n">
        <v>72779</v>
      </c>
      <c r="C80" s="40" t="n">
        <v>23936</v>
      </c>
      <c r="D80" s="40" t="n">
        <v>425887</v>
      </c>
      <c r="E80" s="41" t="n">
        <v>13.66</v>
      </c>
      <c r="F80" s="41" t="n">
        <v>1.4</v>
      </c>
      <c r="G80" s="42" t="n">
        <v>108</v>
      </c>
      <c r="H80" s="42" t="n">
        <v>16</v>
      </c>
      <c r="I80" s="42" t="n">
        <v>178</v>
      </c>
      <c r="J80" s="43" t="n">
        <v>19.35</v>
      </c>
      <c r="K80" s="43" t="n">
        <v>813.15</v>
      </c>
      <c r="L80" s="44" t="n">
        <v>0</v>
      </c>
    </row>
    <row r="81" ht="13" customHeight="1">
      <c r="A81" s="6" t="n">
        <v>25150</v>
      </c>
      <c r="B81" s="40" t="n">
        <v>12746</v>
      </c>
      <c r="C81" s="40" t="n">
        <v>4966</v>
      </c>
      <c r="D81" s="40" t="n">
        <v>160322</v>
      </c>
      <c r="E81" s="41" t="n">
        <v>14.17</v>
      </c>
      <c r="F81" s="41" t="n">
        <v>1.25</v>
      </c>
      <c r="G81" s="42" t="n">
        <v>18</v>
      </c>
      <c r="H81" s="42" t="n">
        <v>12</v>
      </c>
      <c r="I81" s="42" t="n">
        <v>42</v>
      </c>
      <c r="J81" s="43" t="n">
        <v>21.86</v>
      </c>
      <c r="K81" s="43" t="n">
        <v>867.9</v>
      </c>
      <c r="L81" s="44" t="n">
        <v>0</v>
      </c>
    </row>
    <row r="82" ht="13" customHeight="1">
      <c r="A82" s="4" t="n">
        <v>25200</v>
      </c>
      <c r="B82" s="40" t="n">
        <v>67995</v>
      </c>
      <c r="C82" s="40" t="n">
        <v>21200</v>
      </c>
      <c r="D82" s="40" t="n">
        <v>391545</v>
      </c>
      <c r="E82" s="41" t="n">
        <v>14.48</v>
      </c>
      <c r="F82" s="41" t="n">
        <v>1</v>
      </c>
      <c r="G82" s="42" t="n">
        <v>159</v>
      </c>
      <c r="H82" s="42" t="n">
        <v>0</v>
      </c>
      <c r="I82" s="42" t="n">
        <v>43</v>
      </c>
      <c r="J82" s="43" t="n">
        <v>22.59</v>
      </c>
      <c r="K82" s="43" t="n">
        <v>917.1</v>
      </c>
      <c r="L82" s="44" t="n">
        <v>0</v>
      </c>
    </row>
    <row r="83" ht="13" customHeight="1">
      <c r="A83" s="6" t="n">
        <v>25250</v>
      </c>
      <c r="B83" s="40" t="n">
        <v>13761</v>
      </c>
      <c r="C83" s="40" t="n">
        <v>1454</v>
      </c>
      <c r="D83" s="40" t="n">
        <v>136989</v>
      </c>
      <c r="E83" s="41" t="n">
        <v>15.07</v>
      </c>
      <c r="F83" s="41" t="n">
        <v>0.95</v>
      </c>
      <c r="G83" s="42" t="n">
        <v>3</v>
      </c>
      <c r="H83" s="42" t="n">
        <v>1</v>
      </c>
      <c r="I83" s="42" t="n">
        <v>2</v>
      </c>
      <c r="J83" s="43" t="n">
        <v>17.1</v>
      </c>
      <c r="K83" s="43" t="n">
        <v>954</v>
      </c>
      <c r="L83" s="44" t="n">
        <v>0</v>
      </c>
    </row>
    <row r="84" ht="13" customHeight="1">
      <c r="A84" s="4" t="n">
        <v>25300</v>
      </c>
      <c r="B84" s="40" t="n">
        <v>40999</v>
      </c>
      <c r="C84" s="40" t="n">
        <v>19210</v>
      </c>
      <c r="D84" s="40" t="n">
        <v>256825</v>
      </c>
      <c r="E84" s="41" t="n">
        <v>15.65</v>
      </c>
      <c r="F84" s="41" t="n">
        <v>0.9</v>
      </c>
      <c r="G84" s="42" t="n">
        <v>44</v>
      </c>
      <c r="H84" s="42" t="n">
        <v>-6</v>
      </c>
      <c r="I84" s="42" t="n">
        <v>56</v>
      </c>
      <c r="J84" s="43" t="n">
        <v>23.68</v>
      </c>
      <c r="K84" s="43" t="n">
        <v>1014.7</v>
      </c>
      <c r="L84" s="44" t="n">
        <v>0</v>
      </c>
    </row>
    <row r="85" ht="13" customHeight="1">
      <c r="A85" s="6" t="n">
        <v>25350</v>
      </c>
      <c r="B85" s="40" t="n">
        <v>9138</v>
      </c>
      <c r="C85" s="40" t="n">
        <v>4980</v>
      </c>
      <c r="D85" s="40" t="n">
        <v>62294</v>
      </c>
      <c r="E85" s="41" t="n">
        <v>16.22</v>
      </c>
      <c r="F85" s="41" t="n">
        <v>0.85</v>
      </c>
      <c r="G85" s="42" t="n">
        <v>8</v>
      </c>
      <c r="H85" s="42" t="n">
        <v>0</v>
      </c>
      <c r="I85" s="42" t="n">
        <v>0</v>
      </c>
      <c r="J85" s="43" t="n">
        <v>25.13</v>
      </c>
      <c r="K85" s="43" t="n">
        <v>1375.95</v>
      </c>
      <c r="L85" s="44" t="n">
        <v>0</v>
      </c>
    </row>
    <row r="86" ht="13" customHeight="1">
      <c r="A86" s="4" t="n">
        <v>25400</v>
      </c>
      <c r="B86" s="40" t="n">
        <v>34284</v>
      </c>
      <c r="C86" s="40" t="n">
        <v>7181</v>
      </c>
      <c r="D86" s="40" t="n">
        <v>254800</v>
      </c>
      <c r="E86" s="41" t="n">
        <v>16.88</v>
      </c>
      <c r="F86" s="41" t="n">
        <v>0.85</v>
      </c>
      <c r="G86" s="42" t="n">
        <v>28</v>
      </c>
      <c r="H86" s="42" t="n">
        <v>-1</v>
      </c>
      <c r="I86" s="42" t="n">
        <v>5</v>
      </c>
      <c r="J86" s="43" t="n"/>
      <c r="K86" s="43" t="n">
        <v>1100.45</v>
      </c>
      <c r="L86" s="44" t="n">
        <v>0</v>
      </c>
    </row>
    <row r="87" ht="13" customHeight="1">
      <c r="A87" s="6" t="n">
        <v>25450</v>
      </c>
      <c r="B87" s="40" t="n">
        <v>9572</v>
      </c>
      <c r="C87" s="40" t="n">
        <v>3800</v>
      </c>
      <c r="D87" s="40" t="n">
        <v>44204</v>
      </c>
      <c r="E87" s="41" t="n">
        <v>17.17</v>
      </c>
      <c r="F87" s="41" t="n">
        <v>0.7</v>
      </c>
      <c r="G87" s="42" t="n">
        <v>2</v>
      </c>
      <c r="H87" s="42" t="n">
        <v>0</v>
      </c>
      <c r="I87" s="42" t="n">
        <v>0</v>
      </c>
      <c r="J87" s="43" t="n">
        <v>28.19</v>
      </c>
      <c r="K87" s="43" t="n">
        <v>1259.7</v>
      </c>
      <c r="L87" s="44" t="n">
        <v>0</v>
      </c>
    </row>
    <row r="88" ht="13" customHeight="1">
      <c r="A88" s="4" t="n">
        <v>25500</v>
      </c>
      <c r="B88" s="40" t="n">
        <v>134638</v>
      </c>
      <c r="C88" s="40" t="n">
        <v>43535</v>
      </c>
      <c r="D88" s="40" t="n">
        <v>469395</v>
      </c>
      <c r="E88" s="41" t="n">
        <v>17.95</v>
      </c>
      <c r="F88" s="41" t="n">
        <v>0.75</v>
      </c>
      <c r="G88" s="42" t="n">
        <v>1729</v>
      </c>
      <c r="H88" s="42" t="n">
        <v>-32</v>
      </c>
      <c r="I88" s="42" t="n">
        <v>206</v>
      </c>
      <c r="J88" s="43" t="n">
        <v>26.75</v>
      </c>
      <c r="K88" s="43" t="n">
        <v>1213.2</v>
      </c>
      <c r="L88" s="44" t="n">
        <v>0.01</v>
      </c>
    </row>
    <row r="89" ht="13" customHeight="1">
      <c r="A89" s="6" t="n">
        <v>25550</v>
      </c>
      <c r="B89" s="40" t="n">
        <v>5240</v>
      </c>
      <c r="C89" s="40" t="n">
        <v>226</v>
      </c>
      <c r="D89" s="40" t="n">
        <v>34487</v>
      </c>
      <c r="E89" s="41" t="n">
        <v>18.59</v>
      </c>
      <c r="F89" s="41" t="n">
        <v>0.75</v>
      </c>
      <c r="G89" s="42" t="n">
        <v>6</v>
      </c>
      <c r="H89" s="42" t="n">
        <v>0</v>
      </c>
      <c r="I89" s="42" t="n">
        <v>0</v>
      </c>
      <c r="J89" s="43" t="n">
        <v>28.91</v>
      </c>
      <c r="K89" s="43" t="n">
        <v>1357.3</v>
      </c>
      <c r="L89" s="44" t="n">
        <v>0</v>
      </c>
    </row>
    <row r="90" ht="13" customHeight="1">
      <c r="A90" s="4" t="n">
        <v>25600</v>
      </c>
      <c r="B90" s="40" t="n">
        <v>48823</v>
      </c>
      <c r="C90" s="40" t="n">
        <v>26731</v>
      </c>
      <c r="D90" s="40" t="n">
        <v>169577</v>
      </c>
      <c r="E90" s="41" t="n">
        <v>18.94</v>
      </c>
      <c r="F90" s="41" t="n">
        <v>0.65</v>
      </c>
      <c r="G90" s="42" t="n">
        <v>8</v>
      </c>
      <c r="H90" s="42" t="n">
        <v>-3</v>
      </c>
      <c r="I90" s="42" t="n">
        <v>7</v>
      </c>
      <c r="J90" s="43" t="n">
        <v>31.17</v>
      </c>
      <c r="K90" s="43" t="n">
        <v>1320</v>
      </c>
      <c r="L90" s="44" t="n">
        <v>0</v>
      </c>
    </row>
    <row r="91" ht="13" customHeight="1">
      <c r="A91" s="6" t="n">
        <v>25650</v>
      </c>
      <c r="B91" s="40" t="n">
        <v>20732</v>
      </c>
      <c r="C91" s="40" t="n">
        <v>17245</v>
      </c>
      <c r="D91" s="40" t="n">
        <v>72346</v>
      </c>
      <c r="E91" s="41" t="n">
        <v>19.73</v>
      </c>
      <c r="F91" s="41" t="n">
        <v>0.7</v>
      </c>
      <c r="G91" s="42" t="n">
        <v>8</v>
      </c>
      <c r="H91" s="42" t="n">
        <v>0</v>
      </c>
      <c r="I91" s="42" t="n">
        <v>0</v>
      </c>
      <c r="J91" s="43" t="n">
        <v>27.61</v>
      </c>
      <c r="K91" s="43" t="n">
        <v>1670</v>
      </c>
      <c r="L91" s="44" t="n">
        <v>0</v>
      </c>
    </row>
    <row r="92" ht="13" customHeight="1">
      <c r="A92" s="4" t="n">
        <v>25700</v>
      </c>
      <c r="B92" s="40" t="n">
        <v>39316</v>
      </c>
      <c r="C92" s="40" t="n">
        <v>28297</v>
      </c>
      <c r="D92" s="40" t="n">
        <v>134053</v>
      </c>
      <c r="E92" s="41" t="n">
        <v>20.03</v>
      </c>
      <c r="F92" s="41" t="n">
        <v>0.6</v>
      </c>
      <c r="G92" s="42" t="n">
        <v>8</v>
      </c>
      <c r="H92" s="42" t="n">
        <v>0</v>
      </c>
      <c r="I92" s="42" t="n">
        <v>0</v>
      </c>
      <c r="J92" s="43" t="n"/>
      <c r="K92" s="43" t="n">
        <v>1697.75</v>
      </c>
      <c r="L92" s="44" t="n">
        <v>0</v>
      </c>
    </row>
    <row r="93" ht="13" customHeight="1">
      <c r="A93" s="6" t="n">
        <v>25750</v>
      </c>
      <c r="B93" s="40" t="n">
        <v>4117</v>
      </c>
      <c r="C93" s="40" t="n">
        <v>2209</v>
      </c>
      <c r="D93" s="40" t="n">
        <v>20482</v>
      </c>
      <c r="E93" s="41" t="n">
        <v>20.47</v>
      </c>
      <c r="F93" s="41" t="n">
        <v>0.55</v>
      </c>
      <c r="G93" s="42" t="n">
        <v>0</v>
      </c>
      <c r="H93" s="42" t="n">
        <v>0</v>
      </c>
      <c r="I93" s="42" t="n">
        <v>0</v>
      </c>
      <c r="J93" s="43" t="n"/>
      <c r="K93" s="43" t="n"/>
      <c r="L93" s="44" t="n">
        <v>0</v>
      </c>
    </row>
    <row r="94" ht="13" customHeight="1">
      <c r="A94" s="4" t="n">
        <v>25800</v>
      </c>
      <c r="B94" s="40" t="n">
        <v>42531</v>
      </c>
      <c r="C94" s="40" t="n">
        <v>18682</v>
      </c>
      <c r="D94" s="40" t="n">
        <v>149274</v>
      </c>
      <c r="E94" s="41" t="n">
        <v>21.08</v>
      </c>
      <c r="F94" s="41" t="n">
        <v>0.55</v>
      </c>
      <c r="G94" s="42" t="n">
        <v>42</v>
      </c>
      <c r="H94" s="42" t="n">
        <v>-1</v>
      </c>
      <c r="I94" s="42" t="n">
        <v>7</v>
      </c>
      <c r="J94" s="43" t="n">
        <v>33.31</v>
      </c>
      <c r="K94" s="43" t="n">
        <v>1516.05</v>
      </c>
      <c r="L94" s="44" t="n">
        <v>0</v>
      </c>
    </row>
    <row r="95" ht="13" customHeight="1">
      <c r="A95" s="6" t="n">
        <v>25850</v>
      </c>
      <c r="B95" s="40" t="n">
        <v>5131</v>
      </c>
      <c r="C95" s="40" t="n">
        <v>3374</v>
      </c>
      <c r="D95" s="40" t="n">
        <v>18783</v>
      </c>
      <c r="E95" s="41" t="n">
        <v>21.69</v>
      </c>
      <c r="F95" s="41" t="n">
        <v>0.55</v>
      </c>
      <c r="G95" s="42" t="n">
        <v>4</v>
      </c>
      <c r="H95" s="42" t="n">
        <v>0</v>
      </c>
      <c r="I95" s="42" t="n">
        <v>0</v>
      </c>
      <c r="J95" s="43" t="n"/>
      <c r="K95" s="43" t="n">
        <v>1887.9</v>
      </c>
      <c r="L95" s="44" t="n">
        <v>0</v>
      </c>
    </row>
    <row r="96" ht="13" customHeight="1">
      <c r="A96" s="4" t="n">
        <v>25900</v>
      </c>
      <c r="B96" s="40" t="n">
        <v>12167</v>
      </c>
      <c r="C96" s="40" t="n">
        <v>7197</v>
      </c>
      <c r="D96" s="40" t="n">
        <v>45806</v>
      </c>
      <c r="E96" s="41" t="n">
        <v>21.86</v>
      </c>
      <c r="F96" s="41" t="n">
        <v>0.45</v>
      </c>
      <c r="G96" s="42" t="n">
        <v>0</v>
      </c>
      <c r="H96" s="42" t="n">
        <v>0</v>
      </c>
      <c r="I96" s="42" t="n">
        <v>0</v>
      </c>
      <c r="J96" s="43" t="n"/>
      <c r="K96" s="43" t="n"/>
      <c r="L96" s="44" t="n">
        <v>0</v>
      </c>
    </row>
    <row r="97" ht="13" customHeight="1">
      <c r="A97" s="6" t="n">
        <v>25950</v>
      </c>
      <c r="B97" s="40" t="n">
        <v>3843</v>
      </c>
      <c r="C97" s="40" t="n">
        <v>2499</v>
      </c>
      <c r="D97" s="40" t="n">
        <v>17902</v>
      </c>
      <c r="E97" s="41" t="n">
        <v>22.46</v>
      </c>
      <c r="F97" s="41" t="n">
        <v>0.45</v>
      </c>
      <c r="G97" s="42" t="n">
        <v>0</v>
      </c>
      <c r="H97" s="42" t="n">
        <v>0</v>
      </c>
      <c r="I97" s="42" t="n">
        <v>0</v>
      </c>
      <c r="J97" s="43" t="n"/>
      <c r="K97" s="43" t="n"/>
      <c r="L97" s="44" t="n">
        <v>0</v>
      </c>
    </row>
    <row r="98" ht="13" customHeight="1">
      <c r="A98" s="4" t="n">
        <v>26000</v>
      </c>
      <c r="B98" s="40" t="n">
        <v>85513</v>
      </c>
      <c r="C98" s="40" t="n">
        <v>41517</v>
      </c>
      <c r="D98" s="40" t="n">
        <v>291985</v>
      </c>
      <c r="E98" s="41" t="n">
        <v>22.79</v>
      </c>
      <c r="F98" s="41" t="n">
        <v>0.4</v>
      </c>
      <c r="G98" s="42" t="n">
        <v>1054</v>
      </c>
      <c r="H98" s="42" t="n">
        <v>-136</v>
      </c>
      <c r="I98" s="42" t="n">
        <v>356</v>
      </c>
      <c r="J98" s="43" t="n">
        <v>35.79</v>
      </c>
      <c r="K98" s="43" t="n">
        <v>1713.85</v>
      </c>
      <c r="L98" s="44" t="n">
        <v>0.01</v>
      </c>
    </row>
    <row r="99" ht="13" customHeight="1">
      <c r="A99" s="6" t="n">
        <v>26050</v>
      </c>
      <c r="B99" s="40" t="n">
        <v>6029</v>
      </c>
      <c r="C99" s="40" t="n">
        <v>3736</v>
      </c>
      <c r="D99" s="40" t="n">
        <v>20392</v>
      </c>
      <c r="E99" s="41" t="n">
        <v>23.37</v>
      </c>
      <c r="F99" s="41" t="n">
        <v>0.4</v>
      </c>
      <c r="G99" s="42" t="n">
        <v>0</v>
      </c>
      <c r="H99" s="42" t="n">
        <v>0</v>
      </c>
      <c r="I99" s="42" t="n">
        <v>0</v>
      </c>
      <c r="J99" s="43" t="n"/>
      <c r="K99" s="43" t="n"/>
      <c r="L99" s="44" t="n">
        <v>0</v>
      </c>
    </row>
    <row r="100" ht="13" customHeight="1">
      <c r="A100" s="4" t="n">
        <v>26100</v>
      </c>
      <c r="B100" s="40" t="n">
        <v>11881</v>
      </c>
      <c r="C100" s="40" t="n">
        <v>6854</v>
      </c>
      <c r="D100" s="40" t="n">
        <v>60113</v>
      </c>
      <c r="E100" s="41" t="n">
        <v>24.22</v>
      </c>
      <c r="F100" s="41" t="n">
        <v>0.45</v>
      </c>
      <c r="G100" s="42" t="n">
        <v>0</v>
      </c>
      <c r="H100" s="42" t="n">
        <v>0</v>
      </c>
      <c r="I100" s="42" t="n">
        <v>0</v>
      </c>
      <c r="J100" s="43" t="n"/>
      <c r="K100" s="43" t="n"/>
      <c r="L100" s="44" t="n">
        <v>0</v>
      </c>
    </row>
    <row r="101" ht="13" customHeight="1">
      <c r="A101" s="6" t="n">
        <v>26150</v>
      </c>
      <c r="B101" s="40" t="n">
        <v>3808</v>
      </c>
      <c r="C101" s="40" t="n">
        <v>2998</v>
      </c>
      <c r="D101" s="40" t="n">
        <v>15524</v>
      </c>
      <c r="E101" s="41" t="n">
        <v>24.53</v>
      </c>
      <c r="F101" s="41" t="n">
        <v>0.4</v>
      </c>
      <c r="G101" s="42" t="n">
        <v>0</v>
      </c>
      <c r="H101" s="42" t="n">
        <v>0</v>
      </c>
      <c r="I101" s="42" t="n">
        <v>0</v>
      </c>
      <c r="J101" s="43" t="n"/>
      <c r="K101" s="43" t="n"/>
      <c r="L101" s="44" t="n">
        <v>0</v>
      </c>
    </row>
    <row r="102" ht="13" customHeight="1">
      <c r="A102" s="4" t="n">
        <v>26200</v>
      </c>
      <c r="B102" s="40" t="n">
        <v>11177</v>
      </c>
      <c r="C102" s="40" t="n">
        <v>7657</v>
      </c>
      <c r="D102" s="40" t="n">
        <v>39124</v>
      </c>
      <c r="E102" s="41" t="n">
        <v>24.8</v>
      </c>
      <c r="F102" s="41" t="n">
        <v>0.35</v>
      </c>
      <c r="G102" s="42" t="n">
        <v>10</v>
      </c>
      <c r="H102" s="42" t="n">
        <v>0</v>
      </c>
      <c r="I102" s="42" t="n">
        <v>0</v>
      </c>
      <c r="J102" s="43" t="n"/>
      <c r="K102" s="43" t="n">
        <v>2239.7</v>
      </c>
      <c r="L102" s="44" t="n">
        <v>0</v>
      </c>
    </row>
    <row r="103" ht="13" customHeight="1">
      <c r="A103" s="6" t="n">
        <v>26250</v>
      </c>
      <c r="B103" s="40" t="n">
        <v>4468</v>
      </c>
      <c r="C103" s="40" t="n">
        <v>2638</v>
      </c>
      <c r="D103" s="40" t="n">
        <v>14096</v>
      </c>
      <c r="E103" s="41" t="n">
        <v>25.37</v>
      </c>
      <c r="F103" s="41" t="n">
        <v>0.35</v>
      </c>
      <c r="G103" s="42" t="n">
        <v>0</v>
      </c>
      <c r="H103" s="42" t="n">
        <v>0</v>
      </c>
      <c r="I103" s="42" t="n">
        <v>0</v>
      </c>
      <c r="J103" s="43" t="n"/>
      <c r="K103" s="43" t="n"/>
      <c r="L103" s="44" t="n">
        <v>0</v>
      </c>
    </row>
    <row r="104" ht="13" customHeight="1">
      <c r="A104" s="4" t="n">
        <v>26300</v>
      </c>
      <c r="B104" s="40" t="n">
        <v>55744</v>
      </c>
      <c r="C104" s="40" t="n">
        <v>40386</v>
      </c>
      <c r="D104" s="40" t="n">
        <v>254985</v>
      </c>
      <c r="E104" s="41" t="n">
        <v>25.94</v>
      </c>
      <c r="F104" s="41" t="n">
        <v>0.35</v>
      </c>
      <c r="G104" s="42" t="n">
        <v>40</v>
      </c>
      <c r="H104" s="42" t="n">
        <v>0</v>
      </c>
      <c r="I104" s="42" t="n">
        <v>0</v>
      </c>
      <c r="J104" s="43" t="n"/>
      <c r="K104" s="43" t="n">
        <v>2315</v>
      </c>
      <c r="L104" s="44" t="n">
        <v>0</v>
      </c>
    </row>
  </sheetData>
  <mergeCells count="4">
    <mergeCell ref="B2:L2"/>
    <mergeCell ref="G3:K3"/>
    <mergeCell ref="A1:M1"/>
    <mergeCell ref="B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</cols>
  <sheetData>
    <row r="1" ht="22" customHeight="1">
      <c r="A1" s="1" t="inlineStr">
        <is>
          <t>NSE FAO — Max Pain Analysis (Aggregate OI Pain by Strike)</t>
        </is>
      </c>
    </row>
    <row r="2" ht="28" customHeight="1">
      <c r="A2" s="14" t="inlineStr">
        <is>
          <t>Summary</t>
        </is>
      </c>
      <c r="B2" s="49" t="inlineStr">
        <is>
          <t>Jul 03 2026</t>
        </is>
      </c>
    </row>
    <row r="3" ht="14" customHeight="1">
      <c r="A3" s="50" t="inlineStr">
        <is>
          <t>Max Pain Strike</t>
        </is>
      </c>
      <c r="B3" s="51" t="n">
        <v>24200</v>
      </c>
    </row>
    <row r="4" ht="14" customHeight="1">
      <c r="A4" s="25" t="inlineStr">
        <is>
          <t>ATM Strike</t>
        </is>
      </c>
      <c r="B4" s="6" t="n">
        <v>24000</v>
      </c>
    </row>
    <row r="5" ht="14" customHeight="1">
      <c r="A5" s="25" t="inlineStr">
        <is>
          <t>Aggregate OI PCR</t>
        </is>
      </c>
      <c r="B5" s="52" t="n">
        <v>0.9965000000000001</v>
      </c>
    </row>
    <row r="6" ht="14" customHeight="1">
      <c r="A6" s="25" t="inlineStr">
        <is>
          <t>Total Call OI</t>
        </is>
      </c>
      <c r="B6" s="6" t="n">
        <v>2668843</v>
      </c>
    </row>
    <row r="7" ht="14" customHeight="1">
      <c r="A7" s="25" t="inlineStr">
        <is>
          <t>Total Put OI</t>
        </is>
      </c>
      <c r="B7" s="4" t="n">
        <v>2659623</v>
      </c>
    </row>
    <row r="9" ht="8" customHeight="1"/>
    <row r="10" ht="16" customHeight="1">
      <c r="A10" s="14" t="inlineStr">
        <is>
          <t>Per-Strike Pain Values by Date  (lower = more likely to be Max Pain)</t>
        </is>
      </c>
    </row>
    <row r="11" ht="28" customHeight="1">
      <c r="A11" s="39" t="inlineStr">
        <is>
          <t>Strike</t>
        </is>
      </c>
      <c r="B11" s="2" t="inlineStr">
        <is>
          <t>Jul 03 2026</t>
        </is>
      </c>
    </row>
    <row r="12" ht="13" customHeight="1">
      <c r="A12" s="4" t="n">
        <v>21350</v>
      </c>
      <c r="B12" s="4" t="n">
        <v>5782513400</v>
      </c>
    </row>
    <row r="13" ht="13" customHeight="1">
      <c r="A13" s="6" t="n">
        <v>21400</v>
      </c>
      <c r="B13" s="6" t="n">
        <v>5651043450</v>
      </c>
    </row>
    <row r="14" ht="13" customHeight="1">
      <c r="A14" s="4" t="n">
        <v>21450</v>
      </c>
      <c r="B14" s="4" t="n">
        <v>5520361200</v>
      </c>
    </row>
    <row r="15" ht="13" customHeight="1">
      <c r="A15" s="6" t="n">
        <v>21500</v>
      </c>
      <c r="B15" s="6" t="n">
        <v>5389722400</v>
      </c>
    </row>
    <row r="16" ht="13" customHeight="1">
      <c r="A16" s="4" t="n">
        <v>21550</v>
      </c>
      <c r="B16" s="4" t="n">
        <v>5260589400</v>
      </c>
    </row>
    <row r="17" ht="13" customHeight="1">
      <c r="A17" s="6" t="n">
        <v>21600</v>
      </c>
      <c r="B17" s="6" t="n">
        <v>5131507850</v>
      </c>
    </row>
    <row r="18" ht="13" customHeight="1">
      <c r="A18" s="4" t="n">
        <v>21650</v>
      </c>
      <c r="B18" s="4" t="n">
        <v>5002578850</v>
      </c>
    </row>
    <row r="19" ht="13" customHeight="1">
      <c r="A19" s="6" t="n">
        <v>21700</v>
      </c>
      <c r="B19" s="6" t="n">
        <v>4873687550</v>
      </c>
    </row>
    <row r="20" ht="13" customHeight="1">
      <c r="A20" s="4" t="n">
        <v>21750</v>
      </c>
      <c r="B20" s="4" t="n">
        <v>4744888600</v>
      </c>
    </row>
    <row r="21" ht="13" customHeight="1">
      <c r="A21" s="6" t="n">
        <v>21800</v>
      </c>
      <c r="B21" s="6" t="n">
        <v>4616117650</v>
      </c>
    </row>
    <row r="22" ht="13" customHeight="1">
      <c r="A22" s="4" t="n">
        <v>21850</v>
      </c>
      <c r="B22" s="4" t="n">
        <v>4487778350</v>
      </c>
    </row>
    <row r="23" ht="13" customHeight="1">
      <c r="A23" s="6" t="n">
        <v>21900</v>
      </c>
      <c r="B23" s="6" t="n">
        <v>4359481300</v>
      </c>
    </row>
    <row r="24" ht="13" customHeight="1">
      <c r="A24" s="4" t="n">
        <v>21950</v>
      </c>
      <c r="B24" s="4" t="n">
        <v>4231426750</v>
      </c>
    </row>
    <row r="25" ht="13" customHeight="1">
      <c r="A25" s="6" t="n">
        <v>22000</v>
      </c>
      <c r="B25" s="6" t="n">
        <v>4103546900</v>
      </c>
    </row>
    <row r="26" ht="13" customHeight="1">
      <c r="A26" s="4" t="n">
        <v>22050</v>
      </c>
      <c r="B26" s="4" t="n">
        <v>3978972800</v>
      </c>
    </row>
    <row r="27" ht="13" customHeight="1">
      <c r="A27" s="6" t="n">
        <v>22100</v>
      </c>
      <c r="B27" s="6" t="n">
        <v>3854566950</v>
      </c>
    </row>
    <row r="28" ht="13" customHeight="1">
      <c r="A28" s="4" t="n">
        <v>22150</v>
      </c>
      <c r="B28" s="4" t="n">
        <v>3730464650</v>
      </c>
    </row>
    <row r="29" ht="13" customHeight="1">
      <c r="A29" s="6" t="n">
        <v>22200</v>
      </c>
      <c r="B29" s="6" t="n">
        <v>3606551600</v>
      </c>
    </row>
    <row r="30" ht="13" customHeight="1">
      <c r="A30" s="4" t="n">
        <v>22250</v>
      </c>
      <c r="B30" s="4" t="n">
        <v>3483170350</v>
      </c>
    </row>
    <row r="31" ht="13" customHeight="1">
      <c r="A31" s="6" t="n">
        <v>22300</v>
      </c>
      <c r="B31" s="6" t="n">
        <v>3359993600</v>
      </c>
    </row>
    <row r="32" ht="13" customHeight="1">
      <c r="A32" s="4" t="n">
        <v>22350</v>
      </c>
      <c r="B32" s="4" t="n">
        <v>3237512950</v>
      </c>
    </row>
    <row r="33" ht="13" customHeight="1">
      <c r="A33" s="6" t="n">
        <v>22400</v>
      </c>
      <c r="B33" s="6" t="n">
        <v>3115148150</v>
      </c>
    </row>
    <row r="34" ht="13" customHeight="1">
      <c r="A34" s="4" t="n">
        <v>22450</v>
      </c>
      <c r="B34" s="4" t="n">
        <v>2993263500</v>
      </c>
    </row>
    <row r="35" ht="13" customHeight="1">
      <c r="A35" s="6" t="n">
        <v>22500</v>
      </c>
      <c r="B35" s="6" t="n">
        <v>2871515400</v>
      </c>
    </row>
    <row r="36" ht="13" customHeight="1">
      <c r="A36" s="4" t="n">
        <v>22550</v>
      </c>
      <c r="B36" s="4" t="n">
        <v>2753061950</v>
      </c>
    </row>
    <row r="37" ht="13" customHeight="1">
      <c r="A37" s="6" t="n">
        <v>22600</v>
      </c>
      <c r="B37" s="6" t="n">
        <v>2634900050</v>
      </c>
    </row>
    <row r="38" ht="13" customHeight="1">
      <c r="A38" s="4" t="n">
        <v>22650</v>
      </c>
      <c r="B38" s="4" t="n">
        <v>2517732500</v>
      </c>
    </row>
    <row r="39" ht="13" customHeight="1">
      <c r="A39" s="6" t="n">
        <v>22700</v>
      </c>
      <c r="B39" s="6" t="n">
        <v>2401033400</v>
      </c>
    </row>
    <row r="40" ht="13" customHeight="1">
      <c r="A40" s="4" t="n">
        <v>22750</v>
      </c>
      <c r="B40" s="4" t="n">
        <v>2285044250</v>
      </c>
    </row>
    <row r="41" ht="13" customHeight="1">
      <c r="A41" s="6" t="n">
        <v>22800</v>
      </c>
      <c r="B41" s="6" t="n">
        <v>2169482500</v>
      </c>
    </row>
    <row r="42" ht="13" customHeight="1">
      <c r="A42" s="4" t="n">
        <v>22850</v>
      </c>
      <c r="B42" s="4" t="n">
        <v>2056001200</v>
      </c>
    </row>
    <row r="43" ht="13" customHeight="1">
      <c r="A43" s="6" t="n">
        <v>22900</v>
      </c>
      <c r="B43" s="6" t="n">
        <v>1943202900</v>
      </c>
    </row>
    <row r="44" ht="13" customHeight="1">
      <c r="A44" s="4" t="n">
        <v>22950</v>
      </c>
      <c r="B44" s="4" t="n">
        <v>1832555600</v>
      </c>
    </row>
    <row r="45" ht="13" customHeight="1">
      <c r="A45" s="6" t="n">
        <v>23000</v>
      </c>
      <c r="B45" s="6" t="n">
        <v>1722612900</v>
      </c>
    </row>
    <row r="46" ht="13" customHeight="1">
      <c r="A46" s="4" t="n">
        <v>23050</v>
      </c>
      <c r="B46" s="4" t="n">
        <v>1619646000</v>
      </c>
    </row>
    <row r="47" ht="13" customHeight="1">
      <c r="A47" s="6" t="n">
        <v>23100</v>
      </c>
      <c r="B47" s="6" t="n">
        <v>1517112700</v>
      </c>
    </row>
    <row r="48" ht="13" customHeight="1">
      <c r="A48" s="4" t="n">
        <v>23150</v>
      </c>
      <c r="B48" s="4" t="n">
        <v>1416839950</v>
      </c>
    </row>
    <row r="49" ht="13" customHeight="1">
      <c r="A49" s="6" t="n">
        <v>23200</v>
      </c>
      <c r="B49" s="6" t="n">
        <v>1317269000</v>
      </c>
    </row>
    <row r="50" ht="13" customHeight="1">
      <c r="A50" s="4" t="n">
        <v>23250</v>
      </c>
      <c r="B50" s="4" t="n">
        <v>1221616250</v>
      </c>
    </row>
    <row r="51" ht="13" customHeight="1">
      <c r="A51" s="6" t="n">
        <v>23300</v>
      </c>
      <c r="B51" s="6" t="n">
        <v>1127038200</v>
      </c>
    </row>
    <row r="52" ht="13" customHeight="1">
      <c r="A52" s="4" t="n">
        <v>23350</v>
      </c>
      <c r="B52" s="4" t="n">
        <v>1036840650</v>
      </c>
    </row>
    <row r="53" ht="13" customHeight="1">
      <c r="A53" s="6" t="n">
        <v>23400</v>
      </c>
      <c r="B53" s="6" t="n">
        <v>947915500</v>
      </c>
    </row>
    <row r="54" ht="13" customHeight="1">
      <c r="A54" s="4" t="n">
        <v>23450</v>
      </c>
      <c r="B54" s="4" t="n">
        <v>862153550</v>
      </c>
    </row>
    <row r="55" ht="13" customHeight="1">
      <c r="A55" s="6" t="n">
        <v>23500</v>
      </c>
      <c r="B55" s="6" t="n">
        <v>777451250</v>
      </c>
    </row>
    <row r="56" ht="13" customHeight="1">
      <c r="A56" s="4" t="n">
        <v>23550</v>
      </c>
      <c r="B56" s="4" t="n">
        <v>700172700</v>
      </c>
    </row>
    <row r="57" ht="13" customHeight="1">
      <c r="A57" s="6" t="n">
        <v>23600</v>
      </c>
      <c r="B57" s="6" t="n">
        <v>624437350</v>
      </c>
    </row>
    <row r="58" ht="13" customHeight="1">
      <c r="A58" s="4" t="n">
        <v>23650</v>
      </c>
      <c r="B58" s="4" t="n">
        <v>553327550</v>
      </c>
    </row>
    <row r="59" ht="13" customHeight="1">
      <c r="A59" s="6" t="n">
        <v>23700</v>
      </c>
      <c r="B59" s="6" t="n">
        <v>484713200</v>
      </c>
    </row>
    <row r="60" ht="13" customHeight="1">
      <c r="A60" s="4" t="n">
        <v>23750</v>
      </c>
      <c r="B60" s="4" t="n">
        <v>419697700</v>
      </c>
    </row>
    <row r="61" ht="13" customHeight="1">
      <c r="A61" s="6" t="n">
        <v>23800</v>
      </c>
      <c r="B61" s="6" t="n">
        <v>357236350</v>
      </c>
    </row>
    <row r="62" ht="13" customHeight="1">
      <c r="A62" s="4" t="n">
        <v>23850</v>
      </c>
      <c r="B62" s="4" t="n">
        <v>301676150</v>
      </c>
    </row>
    <row r="63" ht="13" customHeight="1">
      <c r="A63" s="6" t="n">
        <v>23900</v>
      </c>
      <c r="B63" s="6" t="n">
        <v>249569800</v>
      </c>
    </row>
    <row r="64" ht="13" customHeight="1">
      <c r="A64" s="4" t="n">
        <v>23950</v>
      </c>
      <c r="B64" s="4" t="n">
        <v>206145900</v>
      </c>
    </row>
    <row r="65" ht="13" customHeight="1">
      <c r="A65" s="6" t="n">
        <v>24000</v>
      </c>
      <c r="B65" s="6" t="n">
        <v>166526100</v>
      </c>
    </row>
    <row r="66" ht="13" customHeight="1">
      <c r="A66" s="4" t="n">
        <v>24050</v>
      </c>
      <c r="B66" s="4" t="n">
        <v>141096100</v>
      </c>
    </row>
    <row r="67" ht="13" customHeight="1">
      <c r="A67" s="6" t="n">
        <v>24100</v>
      </c>
      <c r="B67" s="6" t="n">
        <v>120275350</v>
      </c>
    </row>
    <row r="68" ht="13" customHeight="1">
      <c r="A68" s="4" t="n">
        <v>24150</v>
      </c>
      <c r="B68" s="4" t="n">
        <v>107084500</v>
      </c>
    </row>
    <row r="69" ht="13" customHeight="1">
      <c r="A69" s="6" t="n">
        <v>24200</v>
      </c>
      <c r="B69" s="51" t="n">
        <v>98226500</v>
      </c>
    </row>
    <row r="70" ht="13" customHeight="1">
      <c r="A70" s="4" t="n">
        <v>24250</v>
      </c>
      <c r="B70" s="4" t="n">
        <v>99583100</v>
      </c>
    </row>
    <row r="71" ht="13" customHeight="1">
      <c r="A71" s="6" t="n">
        <v>24300</v>
      </c>
      <c r="B71" s="6" t="n">
        <v>105840400</v>
      </c>
    </row>
    <row r="72" ht="13" customHeight="1">
      <c r="A72" s="4" t="n">
        <v>24350</v>
      </c>
      <c r="B72" s="4" t="n">
        <v>125260600</v>
      </c>
    </row>
    <row r="73" ht="13" customHeight="1">
      <c r="A73" s="6" t="n">
        <v>24400</v>
      </c>
      <c r="B73" s="6" t="n">
        <v>152201750</v>
      </c>
    </row>
    <row r="74" ht="13" customHeight="1">
      <c r="A74" s="4" t="n">
        <v>24450</v>
      </c>
      <c r="B74" s="4" t="n">
        <v>189177750</v>
      </c>
    </row>
    <row r="75" ht="13" customHeight="1">
      <c r="A75" s="6" t="n">
        <v>24500</v>
      </c>
      <c r="B75" s="6" t="n">
        <v>229397900</v>
      </c>
    </row>
    <row r="76" ht="13" customHeight="1">
      <c r="A76" s="4" t="n">
        <v>24550</v>
      </c>
      <c r="B76" s="4" t="n">
        <v>279445350</v>
      </c>
    </row>
    <row r="77" ht="13" customHeight="1">
      <c r="A77" s="6" t="n">
        <v>24600</v>
      </c>
      <c r="B77" s="6" t="n">
        <v>333046100</v>
      </c>
    </row>
    <row r="78" ht="13" customHeight="1">
      <c r="A78" s="4" t="n">
        <v>24650</v>
      </c>
      <c r="B78" s="4" t="n">
        <v>393576800</v>
      </c>
    </row>
    <row r="79" ht="13" customHeight="1">
      <c r="A79" s="6" t="n">
        <v>24700</v>
      </c>
      <c r="B79" s="6" t="n">
        <v>457372500</v>
      </c>
    </row>
    <row r="80" ht="13" customHeight="1">
      <c r="A80" s="4" t="n">
        <v>24750</v>
      </c>
      <c r="B80" s="4" t="n">
        <v>526920450</v>
      </c>
    </row>
    <row r="81" ht="13" customHeight="1">
      <c r="A81" s="6" t="n">
        <v>24800</v>
      </c>
      <c r="B81" s="6" t="n">
        <v>599339000</v>
      </c>
    </row>
    <row r="82" ht="13" customHeight="1">
      <c r="A82" s="4" t="n">
        <v>24850</v>
      </c>
      <c r="B82" s="4" t="n">
        <v>677468000</v>
      </c>
    </row>
    <row r="83" ht="13" customHeight="1">
      <c r="A83" s="6" t="n">
        <v>24900</v>
      </c>
      <c r="B83" s="6" t="n">
        <v>757412750</v>
      </c>
    </row>
    <row r="84" ht="13" customHeight="1">
      <c r="A84" s="4" t="n">
        <v>24950</v>
      </c>
      <c r="B84" s="4" t="n">
        <v>840805400</v>
      </c>
    </row>
    <row r="85" ht="13" customHeight="1">
      <c r="A85" s="6" t="n">
        <v>25000</v>
      </c>
      <c r="B85" s="6" t="n">
        <v>925619200</v>
      </c>
    </row>
    <row r="86" ht="13" customHeight="1">
      <c r="A86" s="4" t="n">
        <v>25050</v>
      </c>
      <c r="B86" s="4" t="n">
        <v>1020114150</v>
      </c>
    </row>
    <row r="87" ht="13" customHeight="1">
      <c r="A87" s="6" t="n">
        <v>25100</v>
      </c>
      <c r="B87" s="6" t="n">
        <v>1115570750</v>
      </c>
    </row>
    <row r="88" ht="13" customHeight="1">
      <c r="A88" s="4" t="n">
        <v>25150</v>
      </c>
      <c r="B88" s="4" t="n">
        <v>1214671700</v>
      </c>
    </row>
    <row r="89" ht="13" customHeight="1">
      <c r="A89" s="6" t="n">
        <v>25200</v>
      </c>
      <c r="B89" s="6" t="n">
        <v>1314410850</v>
      </c>
    </row>
    <row r="90" ht="13" customHeight="1">
      <c r="A90" s="4" t="n">
        <v>25250</v>
      </c>
      <c r="B90" s="4" t="n">
        <v>1417557700</v>
      </c>
    </row>
    <row r="91" ht="13" customHeight="1">
      <c r="A91" s="6" t="n">
        <v>25300</v>
      </c>
      <c r="B91" s="6" t="n">
        <v>1521392750</v>
      </c>
    </row>
    <row r="92" ht="13" customHeight="1">
      <c r="A92" s="4" t="n">
        <v>25350</v>
      </c>
      <c r="B92" s="4" t="n">
        <v>1627279950</v>
      </c>
    </row>
    <row r="93" ht="13" customHeight="1">
      <c r="A93" s="6" t="n">
        <v>25400</v>
      </c>
      <c r="B93" s="6" t="n">
        <v>1733624450</v>
      </c>
    </row>
    <row r="94" ht="13" customHeight="1">
      <c r="A94" s="4" t="n">
        <v>25450</v>
      </c>
      <c r="B94" s="4" t="n">
        <v>1841684550</v>
      </c>
    </row>
    <row r="95" ht="13" customHeight="1">
      <c r="A95" s="6" t="n">
        <v>25500</v>
      </c>
      <c r="B95" s="6" t="n">
        <v>1950223350</v>
      </c>
    </row>
    <row r="96" ht="13" customHeight="1">
      <c r="A96" s="4" t="n">
        <v>25550</v>
      </c>
      <c r="B96" s="4" t="n">
        <v>2065580500</v>
      </c>
    </row>
    <row r="97" ht="13" customHeight="1">
      <c r="A97" s="6" t="n">
        <v>25600</v>
      </c>
      <c r="B97" s="6" t="n">
        <v>2181199950</v>
      </c>
    </row>
    <row r="98" ht="13" customHeight="1">
      <c r="A98" s="4" t="n">
        <v>25650</v>
      </c>
      <c r="B98" s="4" t="n">
        <v>2299260950</v>
      </c>
    </row>
    <row r="99" ht="13" customHeight="1">
      <c r="A99" s="6" t="n">
        <v>25700</v>
      </c>
      <c r="B99" s="6" t="n">
        <v>2418358950</v>
      </c>
    </row>
    <row r="100" ht="13" customHeight="1">
      <c r="A100" s="4" t="n">
        <v>25750</v>
      </c>
      <c r="B100" s="4" t="n">
        <v>2539423150</v>
      </c>
    </row>
    <row r="101" ht="13" customHeight="1">
      <c r="A101" s="6" t="n">
        <v>25800</v>
      </c>
      <c r="B101" s="6" t="n">
        <v>2660693200</v>
      </c>
    </row>
    <row r="102" ht="13" customHeight="1">
      <c r="A102" s="4" t="n">
        <v>25850</v>
      </c>
      <c r="B102" s="4" t="n">
        <v>2784091900</v>
      </c>
    </row>
    <row r="103" ht="13" customHeight="1">
      <c r="A103" s="6" t="n">
        <v>25900</v>
      </c>
      <c r="B103" s="6" t="n">
        <v>2907747350</v>
      </c>
    </row>
    <row r="104" ht="13" customHeight="1">
      <c r="A104" s="4" t="n">
        <v>25950</v>
      </c>
      <c r="B104" s="4" t="n">
        <v>3032011150</v>
      </c>
    </row>
    <row r="105" ht="13" customHeight="1">
      <c r="A105" s="6" t="n">
        <v>26000</v>
      </c>
      <c r="B105" s="6" t="n">
        <v>3156467100</v>
      </c>
    </row>
    <row r="106" ht="13" customHeight="1">
      <c r="A106" s="4" t="n">
        <v>26050</v>
      </c>
      <c r="B106" s="4" t="n">
        <v>3285251400</v>
      </c>
    </row>
    <row r="107" ht="13" customHeight="1">
      <c r="A107" s="6" t="n">
        <v>26100</v>
      </c>
      <c r="B107" s="6" t="n">
        <v>3414337150</v>
      </c>
    </row>
    <row r="108" ht="13" customHeight="1">
      <c r="A108" s="4" t="n">
        <v>26150</v>
      </c>
      <c r="B108" s="4" t="n">
        <v>3544016950</v>
      </c>
    </row>
    <row r="109" ht="13" customHeight="1">
      <c r="A109" s="6" t="n">
        <v>26200</v>
      </c>
      <c r="B109" s="6" t="n">
        <v>3673887150</v>
      </c>
    </row>
    <row r="110" ht="13" customHeight="1">
      <c r="A110" s="4" t="n">
        <v>26250</v>
      </c>
      <c r="B110" s="4" t="n">
        <v>3804316700</v>
      </c>
    </row>
    <row r="111" ht="13" customHeight="1">
      <c r="A111" s="6" t="n">
        <v>26300</v>
      </c>
      <c r="B111" s="6" t="n">
        <v>3934969650</v>
      </c>
    </row>
  </sheetData>
  <mergeCells count="2">
    <mergeCell ref="A10:L10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</cols>
  <sheetData>
    <row r="1" ht="22" customHeight="1">
      <c r="A1" s="1" t="inlineStr">
        <is>
          <t>NSE FAO — OI Walls: Call Resistance &amp; Put Support (Top 10 Strikes)</t>
        </is>
      </c>
    </row>
    <row r="2" ht="18" customHeight="1">
      <c r="A2" s="19" t="inlineStr">
        <is>
          <t>Jul 03 2026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</row>
    <row r="3" ht="16" customHeight="1">
      <c r="A3" s="8" t="inlineStr">
        <is>
          <t>⬆ CALL WALL (Resistance)</t>
        </is>
      </c>
      <c r="B3" s="9" t="n"/>
      <c r="C3" s="9" t="n"/>
      <c r="D3" s="9" t="n"/>
      <c r="E3" s="9" t="n"/>
      <c r="F3" s="10" t="inlineStr">
        <is>
          <t>⬇ PUT WALL (Support)</t>
        </is>
      </c>
      <c r="G3" s="11" t="n"/>
      <c r="H3" s="11" t="n"/>
      <c r="I3" s="11" t="n"/>
      <c r="J3" s="11" t="n"/>
    </row>
    <row r="4" ht="28" customHeight="1">
      <c r="A4" s="12" t="inlineStr">
        <is>
          <t>Strike</t>
        </is>
      </c>
      <c r="B4" s="12" t="inlineStr">
        <is>
          <t>Call OI</t>
        </is>
      </c>
      <c r="C4" s="12" t="inlineStr">
        <is>
          <t>Δ Call OI</t>
        </is>
      </c>
      <c r="D4" s="12" t="inlineStr">
        <is>
          <t>Call Vol</t>
        </is>
      </c>
      <c r="E4" s="12" t="inlineStr">
        <is>
          <t>% of Total Call OI</t>
        </is>
      </c>
      <c r="F4" s="13" t="inlineStr">
        <is>
          <t>Strike</t>
        </is>
      </c>
      <c r="G4" s="13" t="inlineStr">
        <is>
          <t>Put OI</t>
        </is>
      </c>
      <c r="H4" s="13" t="inlineStr">
        <is>
          <t>Δ Put OI</t>
        </is>
      </c>
      <c r="I4" s="13" t="inlineStr">
        <is>
          <t>Put Vol</t>
        </is>
      </c>
      <c r="J4" s="13" t="inlineStr">
        <is>
          <t>% of Total Put OI</t>
        </is>
      </c>
    </row>
    <row r="5" ht="14" customHeight="1">
      <c r="A5" s="40" t="n">
        <v>25000</v>
      </c>
      <c r="B5" s="40" t="n">
        <v>185715</v>
      </c>
      <c r="C5" s="53" t="n">
        <v>44895</v>
      </c>
      <c r="D5" s="40" t="n">
        <v>1241586</v>
      </c>
      <c r="E5" s="54" t="n">
        <v>0.0696</v>
      </c>
      <c r="F5" s="42" t="n">
        <v>24000</v>
      </c>
      <c r="G5" s="42" t="n">
        <v>214322</v>
      </c>
      <c r="H5" s="55" t="n">
        <v>23751</v>
      </c>
      <c r="I5" s="42" t="n">
        <v>2297342</v>
      </c>
      <c r="J5" s="56" t="n">
        <v>0.0806</v>
      </c>
    </row>
    <row r="6" ht="14" customHeight="1">
      <c r="A6" s="40" t="n">
        <v>24500</v>
      </c>
      <c r="B6" s="40" t="n">
        <v>175539</v>
      </c>
      <c r="C6" s="53" t="n">
        <v>43368</v>
      </c>
      <c r="D6" s="40" t="n">
        <v>3824979</v>
      </c>
      <c r="E6" s="54" t="n">
        <v>0.0658</v>
      </c>
      <c r="F6" s="42" t="n">
        <v>23900</v>
      </c>
      <c r="G6" s="42" t="n">
        <v>147386</v>
      </c>
      <c r="H6" s="55" t="n">
        <v>17376</v>
      </c>
      <c r="I6" s="42" t="n">
        <v>1100447</v>
      </c>
      <c r="J6" s="56" t="n">
        <v>0.0554</v>
      </c>
    </row>
    <row r="7" ht="14" customHeight="1">
      <c r="A7" s="40" t="n">
        <v>24400</v>
      </c>
      <c r="B7" s="40" t="n">
        <v>174995</v>
      </c>
      <c r="C7" s="53" t="n">
        <v>76040</v>
      </c>
      <c r="D7" s="40" t="n">
        <v>5257012</v>
      </c>
      <c r="E7" s="54" t="n">
        <v>0.06560000000000001</v>
      </c>
      <c r="F7" s="42" t="n">
        <v>23500</v>
      </c>
      <c r="G7" s="42" t="n">
        <v>143714</v>
      </c>
      <c r="H7" s="55" t="n">
        <v>14202</v>
      </c>
      <c r="I7" s="42" t="n">
        <v>1031520</v>
      </c>
      <c r="J7" s="56" t="n">
        <v>0.054</v>
      </c>
    </row>
    <row r="8" ht="14" customHeight="1">
      <c r="A8" s="40" t="n">
        <v>24300</v>
      </c>
      <c r="B8" s="40" t="n">
        <v>167273</v>
      </c>
      <c r="C8" s="53" t="n">
        <v>91309</v>
      </c>
      <c r="D8" s="40" t="n">
        <v>5789030</v>
      </c>
      <c r="E8" s="54" t="n">
        <v>0.06270000000000001</v>
      </c>
      <c r="F8" s="42" t="n">
        <v>23000</v>
      </c>
      <c r="G8" s="42" t="n">
        <v>136789</v>
      </c>
      <c r="H8" s="55" t="n">
        <v>14795</v>
      </c>
      <c r="I8" s="42" t="n">
        <v>677815</v>
      </c>
      <c r="J8" s="56" t="n">
        <v>0.0514</v>
      </c>
    </row>
    <row r="9" ht="14" customHeight="1">
      <c r="A9" s="40" t="n">
        <v>25500</v>
      </c>
      <c r="B9" s="40" t="n">
        <v>134638</v>
      </c>
      <c r="C9" s="53" t="n">
        <v>43535</v>
      </c>
      <c r="D9" s="40" t="n">
        <v>469395</v>
      </c>
      <c r="E9" s="54" t="n">
        <v>0.0504</v>
      </c>
      <c r="F9" s="42" t="n">
        <v>24200</v>
      </c>
      <c r="G9" s="42" t="n">
        <v>127871</v>
      </c>
      <c r="H9" s="55" t="n">
        <v>53678</v>
      </c>
      <c r="I9" s="42" t="n">
        <v>3519326</v>
      </c>
      <c r="J9" s="56" t="n">
        <v>0.0481</v>
      </c>
    </row>
    <row r="10" ht="14" customHeight="1">
      <c r="A10" s="40" t="n">
        <v>24600</v>
      </c>
      <c r="B10" s="40" t="n">
        <v>134499</v>
      </c>
      <c r="C10" s="53" t="n">
        <v>25920</v>
      </c>
      <c r="D10" s="40" t="n">
        <v>2539013</v>
      </c>
      <c r="E10" s="54" t="n">
        <v>0.0504</v>
      </c>
      <c r="F10" s="42" t="n">
        <v>23800</v>
      </c>
      <c r="G10" s="42" t="n">
        <v>125863</v>
      </c>
      <c r="H10" s="55" t="n">
        <v>23136</v>
      </c>
      <c r="I10" s="42" t="n">
        <v>944888</v>
      </c>
      <c r="J10" s="56" t="n">
        <v>0.0473</v>
      </c>
    </row>
    <row r="11" ht="14" customHeight="1">
      <c r="A11" s="40" t="n">
        <v>24350</v>
      </c>
      <c r="B11" s="40" t="n">
        <v>116100</v>
      </c>
      <c r="C11" s="53" t="n">
        <v>83834</v>
      </c>
      <c r="D11" s="40" t="n">
        <v>4979130</v>
      </c>
      <c r="E11" s="54" t="n">
        <v>0.0435</v>
      </c>
      <c r="F11" s="42" t="n">
        <v>24100</v>
      </c>
      <c r="G11" s="42" t="n">
        <v>122273</v>
      </c>
      <c r="H11" s="55" t="n">
        <v>-22546</v>
      </c>
      <c r="I11" s="42" t="n">
        <v>2200726</v>
      </c>
      <c r="J11" s="56" t="n">
        <v>0.046</v>
      </c>
    </row>
    <row r="12" ht="14" customHeight="1">
      <c r="A12" s="40" t="n">
        <v>24700</v>
      </c>
      <c r="B12" s="40" t="n">
        <v>113805</v>
      </c>
      <c r="C12" s="53" t="n">
        <v>34670</v>
      </c>
      <c r="D12" s="40" t="n">
        <v>1247664</v>
      </c>
      <c r="E12" s="54" t="n">
        <v>0.0426</v>
      </c>
      <c r="F12" s="42" t="n">
        <v>24300</v>
      </c>
      <c r="G12" s="42" t="n">
        <v>95985</v>
      </c>
      <c r="H12" s="55" t="n">
        <v>75188</v>
      </c>
      <c r="I12" s="42" t="n">
        <v>6888138</v>
      </c>
      <c r="J12" s="56" t="n">
        <v>0.0361</v>
      </c>
    </row>
    <row r="13" ht="14" customHeight="1">
      <c r="A13" s="40" t="n">
        <v>24800</v>
      </c>
      <c r="B13" s="40" t="n">
        <v>113362</v>
      </c>
      <c r="C13" s="53" t="n">
        <v>50362</v>
      </c>
      <c r="D13" s="40" t="n">
        <v>901872</v>
      </c>
      <c r="E13" s="54" t="n">
        <v>0.0425</v>
      </c>
      <c r="F13" s="42" t="n">
        <v>23600</v>
      </c>
      <c r="G13" s="42" t="n">
        <v>90643</v>
      </c>
      <c r="H13" s="55" t="n">
        <v>-5392</v>
      </c>
      <c r="I13" s="42" t="n">
        <v>816393</v>
      </c>
      <c r="J13" s="56" t="n">
        <v>0.0341</v>
      </c>
    </row>
    <row r="14" ht="14" customHeight="1">
      <c r="A14" s="40" t="n">
        <v>26000</v>
      </c>
      <c r="B14" s="40" t="n">
        <v>85513</v>
      </c>
      <c r="C14" s="53" t="n">
        <v>41517</v>
      </c>
      <c r="D14" s="40" t="n">
        <v>291985</v>
      </c>
      <c r="E14" s="54" t="n">
        <v>0.032</v>
      </c>
      <c r="F14" s="42" t="n">
        <v>23300</v>
      </c>
      <c r="G14" s="42" t="n">
        <v>86779</v>
      </c>
      <c r="H14" s="55" t="n">
        <v>8623</v>
      </c>
      <c r="I14" s="42" t="n">
        <v>633202</v>
      </c>
      <c r="J14" s="56" t="n">
        <v>0.0326</v>
      </c>
    </row>
  </sheetData>
  <mergeCells count="4">
    <mergeCell ref="A3:E3"/>
    <mergeCell ref="A1:K1"/>
    <mergeCell ref="F3:J3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2" customWidth="1" min="5" max="5"/>
  </cols>
  <sheetData>
    <row r="1" ht="22" customHeight="1">
      <c r="A1" s="1" t="inlineStr">
        <is>
          <t>NSE FAO — Implied Volatility Skew by Strike</t>
        </is>
      </c>
    </row>
    <row r="2" ht="16" customHeight="1">
      <c r="A2" s="19" t="inlineStr">
        <is>
          <t>Strike</t>
        </is>
      </c>
      <c r="B2" s="19" t="inlineStr">
        <is>
          <t>Jul 03 2026</t>
        </is>
      </c>
      <c r="C2" s="20" t="n"/>
      <c r="D2" s="20" t="n"/>
      <c r="E2" s="20" t="n"/>
    </row>
    <row r="3" ht="28" customHeight="1">
      <c r="A3" s="37" t="inlineStr"/>
      <c r="B3" s="12" t="inlineStr">
        <is>
          <t>Call IV</t>
        </is>
      </c>
      <c r="C3" s="13" t="inlineStr">
        <is>
          <t>Put IV</t>
        </is>
      </c>
      <c r="D3" s="57" t="inlineStr">
        <is>
          <t>Put−Call Skew</t>
        </is>
      </c>
      <c r="E3" s="58" t="n"/>
    </row>
    <row r="4" ht="13" customHeight="1">
      <c r="A4" s="4" t="n">
        <v>21350</v>
      </c>
      <c r="B4" s="41" t="n"/>
      <c r="C4" s="43" t="n">
        <v>40.94</v>
      </c>
      <c r="D4" s="59" t="n"/>
      <c r="E4" s="26" t="n"/>
    </row>
    <row r="5" ht="13" customHeight="1">
      <c r="A5" s="6" t="n">
        <v>21400</v>
      </c>
      <c r="B5" s="41" t="n"/>
      <c r="C5" s="43" t="n">
        <v>40.26</v>
      </c>
      <c r="D5" s="59" t="n"/>
      <c r="E5" s="27" t="n"/>
    </row>
    <row r="6" ht="13" customHeight="1">
      <c r="A6" s="4" t="n">
        <v>21450</v>
      </c>
      <c r="B6" s="41" t="n"/>
      <c r="C6" s="43" t="n">
        <v>40.45</v>
      </c>
      <c r="D6" s="59" t="n"/>
      <c r="E6" s="26" t="n"/>
    </row>
    <row r="7" ht="13" customHeight="1">
      <c r="A7" s="6" t="n">
        <v>21500</v>
      </c>
      <c r="B7" s="41" t="n">
        <v>63.34</v>
      </c>
      <c r="C7" s="43" t="n">
        <v>38.9</v>
      </c>
      <c r="D7" s="60" t="n">
        <v>-24.44</v>
      </c>
      <c r="E7" s="27" t="n"/>
    </row>
    <row r="8" ht="13" customHeight="1">
      <c r="A8" s="4" t="n">
        <v>21550</v>
      </c>
      <c r="B8" s="41" t="n"/>
      <c r="C8" s="43" t="n">
        <v>38.66</v>
      </c>
      <c r="D8" s="59" t="n"/>
      <c r="E8" s="26" t="n"/>
    </row>
    <row r="9" ht="13" customHeight="1">
      <c r="A9" s="6" t="n">
        <v>21600</v>
      </c>
      <c r="B9" s="41" t="n"/>
      <c r="C9" s="43" t="n">
        <v>37.98</v>
      </c>
      <c r="D9" s="59" t="n"/>
      <c r="E9" s="27" t="n"/>
    </row>
    <row r="10" ht="13" customHeight="1">
      <c r="A10" s="4" t="n">
        <v>21650</v>
      </c>
      <c r="B10" s="41" t="n"/>
      <c r="C10" s="43" t="n">
        <v>37.29</v>
      </c>
      <c r="D10" s="59" t="n"/>
      <c r="E10" s="26" t="n"/>
    </row>
    <row r="11" ht="13" customHeight="1">
      <c r="A11" s="6" t="n">
        <v>21700</v>
      </c>
      <c r="B11" s="41" t="n"/>
      <c r="C11" s="43" t="n">
        <v>36.61</v>
      </c>
      <c r="D11" s="59" t="n"/>
      <c r="E11" s="27" t="n"/>
    </row>
    <row r="12" ht="13" customHeight="1">
      <c r="A12" s="4" t="n">
        <v>21750</v>
      </c>
      <c r="B12" s="41" t="n"/>
      <c r="C12" s="43" t="n">
        <v>36.66</v>
      </c>
      <c r="D12" s="59" t="n"/>
      <c r="E12" s="26" t="n"/>
    </row>
    <row r="13" ht="13" customHeight="1">
      <c r="A13" s="6" t="n">
        <v>21800</v>
      </c>
      <c r="B13" s="41" t="n"/>
      <c r="C13" s="43" t="n">
        <v>35.62</v>
      </c>
      <c r="D13" s="59" t="n"/>
      <c r="E13" s="27" t="n"/>
    </row>
    <row r="14" ht="13" customHeight="1">
      <c r="A14" s="4" t="n">
        <v>21850</v>
      </c>
      <c r="B14" s="41" t="n"/>
      <c r="C14" s="43" t="n">
        <v>34.93</v>
      </c>
      <c r="D14" s="59" t="n"/>
      <c r="E14" s="26" t="n"/>
    </row>
    <row r="15" ht="13" customHeight="1">
      <c r="A15" s="6" t="n">
        <v>21900</v>
      </c>
      <c r="B15" s="41" t="n"/>
      <c r="C15" s="43" t="n">
        <v>34.24</v>
      </c>
      <c r="D15" s="59" t="n"/>
      <c r="E15" s="27" t="n"/>
    </row>
    <row r="16" ht="13" customHeight="1">
      <c r="A16" s="4" t="n">
        <v>21950</v>
      </c>
      <c r="B16" s="41" t="n"/>
      <c r="C16" s="43" t="n">
        <v>33.88</v>
      </c>
      <c r="D16" s="59" t="n"/>
      <c r="E16" s="26" t="n"/>
    </row>
    <row r="17" ht="13" customHeight="1">
      <c r="A17" s="6" t="n">
        <v>22000</v>
      </c>
      <c r="B17" s="41" t="n"/>
      <c r="C17" s="43" t="n">
        <v>32.87</v>
      </c>
      <c r="D17" s="59" t="n"/>
      <c r="E17" s="27" t="n"/>
    </row>
    <row r="18" ht="13" customHeight="1">
      <c r="A18" s="4" t="n">
        <v>22050</v>
      </c>
      <c r="B18" s="41" t="n"/>
      <c r="C18" s="43" t="n">
        <v>32.18</v>
      </c>
      <c r="D18" s="59" t="n"/>
      <c r="E18" s="26" t="n"/>
    </row>
    <row r="19" ht="13" customHeight="1">
      <c r="A19" s="6" t="n">
        <v>22100</v>
      </c>
      <c r="B19" s="41" t="n"/>
      <c r="C19" s="43" t="n">
        <v>32.09</v>
      </c>
      <c r="D19" s="59" t="n"/>
      <c r="E19" s="27" t="n"/>
    </row>
    <row r="20" ht="13" customHeight="1">
      <c r="A20" s="4" t="n">
        <v>22150</v>
      </c>
      <c r="B20" s="41" t="n"/>
      <c r="C20" s="43" t="n">
        <v>31.11</v>
      </c>
      <c r="D20" s="59" t="n"/>
      <c r="E20" s="26" t="n"/>
    </row>
    <row r="21" ht="13" customHeight="1">
      <c r="A21" s="6" t="n">
        <v>22200</v>
      </c>
      <c r="B21" s="41" t="n">
        <v>61.6</v>
      </c>
      <c r="C21" s="43" t="n">
        <v>30.7</v>
      </c>
      <c r="D21" s="60" t="n">
        <v>-30.9</v>
      </c>
      <c r="E21" s="27" t="n"/>
    </row>
    <row r="22" ht="13" customHeight="1">
      <c r="A22" s="4" t="n">
        <v>22250</v>
      </c>
      <c r="B22" s="41" t="n"/>
      <c r="C22" s="43" t="n">
        <v>30</v>
      </c>
      <c r="D22" s="59" t="n"/>
      <c r="E22" s="26" t="n"/>
    </row>
    <row r="23" ht="13" customHeight="1">
      <c r="A23" s="6" t="n">
        <v>22300</v>
      </c>
      <c r="B23" s="41" t="n"/>
      <c r="C23" s="43" t="n">
        <v>29.56</v>
      </c>
      <c r="D23" s="59" t="n"/>
      <c r="E23" s="27" t="n"/>
    </row>
    <row r="24" ht="13" customHeight="1">
      <c r="A24" s="4" t="n">
        <v>22350</v>
      </c>
      <c r="B24" s="41" t="n"/>
      <c r="C24" s="43" t="n">
        <v>28.86</v>
      </c>
      <c r="D24" s="59" t="n"/>
      <c r="E24" s="26" t="n"/>
    </row>
    <row r="25" ht="13" customHeight="1">
      <c r="A25" s="6" t="n">
        <v>22400</v>
      </c>
      <c r="B25" s="41" t="n"/>
      <c r="C25" s="43" t="n">
        <v>28.16</v>
      </c>
      <c r="D25" s="59" t="n"/>
      <c r="E25" s="27" t="n"/>
    </row>
    <row r="26" ht="13" customHeight="1">
      <c r="A26" s="4" t="n">
        <v>22450</v>
      </c>
      <c r="B26" s="41" t="n">
        <v>59.88</v>
      </c>
      <c r="C26" s="43" t="n">
        <v>27.46</v>
      </c>
      <c r="D26" s="60" t="n">
        <v>-32.42</v>
      </c>
      <c r="E26" s="26" t="n"/>
    </row>
    <row r="27" ht="13" customHeight="1">
      <c r="A27" s="6" t="n">
        <v>22500</v>
      </c>
      <c r="B27" s="41" t="n"/>
      <c r="C27" s="43" t="n">
        <v>26.97</v>
      </c>
      <c r="D27" s="59" t="n"/>
      <c r="E27" s="27" t="n"/>
    </row>
    <row r="28" ht="13" customHeight="1">
      <c r="A28" s="4" t="n">
        <v>22550</v>
      </c>
      <c r="B28" s="41" t="n"/>
      <c r="C28" s="43" t="n">
        <v>26.83</v>
      </c>
      <c r="D28" s="59" t="n"/>
      <c r="E28" s="26" t="n"/>
    </row>
    <row r="29" ht="13" customHeight="1">
      <c r="A29" s="6" t="n">
        <v>22600</v>
      </c>
      <c r="B29" s="41" t="n"/>
      <c r="C29" s="43" t="n">
        <v>25.76</v>
      </c>
      <c r="D29" s="59" t="n"/>
      <c r="E29" s="27" t="n"/>
    </row>
    <row r="30" ht="13" customHeight="1">
      <c r="A30" s="4" t="n">
        <v>22650</v>
      </c>
      <c r="B30" s="41" t="n">
        <v>36.89</v>
      </c>
      <c r="C30" s="43" t="n">
        <v>25.56</v>
      </c>
      <c r="D30" s="60" t="n">
        <v>-11.33</v>
      </c>
      <c r="E30" s="26" t="n"/>
    </row>
    <row r="31" ht="13" customHeight="1">
      <c r="A31" s="6" t="n">
        <v>22700</v>
      </c>
      <c r="B31" s="41" t="n">
        <v>34.37</v>
      </c>
      <c r="C31" s="43" t="n">
        <v>24.84</v>
      </c>
      <c r="D31" s="60" t="n">
        <v>-9.529999999999999</v>
      </c>
      <c r="E31" s="27" t="n"/>
    </row>
    <row r="32" ht="13" customHeight="1">
      <c r="A32" s="4" t="n">
        <v>22750</v>
      </c>
      <c r="B32" s="41" t="n"/>
      <c r="C32" s="43" t="n">
        <v>24.12</v>
      </c>
      <c r="D32" s="59" t="n"/>
      <c r="E32" s="26" t="n"/>
    </row>
    <row r="33" ht="13" customHeight="1">
      <c r="A33" s="6" t="n">
        <v>22800</v>
      </c>
      <c r="B33" s="41" t="n"/>
      <c r="C33" s="43" t="n">
        <v>23.4</v>
      </c>
      <c r="D33" s="59" t="n"/>
      <c r="E33" s="27" t="n"/>
    </row>
    <row r="34" ht="13" customHeight="1">
      <c r="A34" s="4" t="n">
        <v>22850</v>
      </c>
      <c r="B34" s="41" t="n"/>
      <c r="C34" s="43" t="n">
        <v>22.81</v>
      </c>
      <c r="D34" s="59" t="n"/>
      <c r="E34" s="26" t="n"/>
    </row>
    <row r="35" ht="13" customHeight="1">
      <c r="A35" s="6" t="n">
        <v>22900</v>
      </c>
      <c r="B35" s="41" t="n"/>
      <c r="C35" s="43" t="n">
        <v>22.47</v>
      </c>
      <c r="D35" s="59" t="n"/>
      <c r="E35" s="27" t="n"/>
    </row>
    <row r="36" ht="13" customHeight="1">
      <c r="A36" s="4" t="n">
        <v>22950</v>
      </c>
      <c r="B36" s="41" t="n">
        <v>24.31</v>
      </c>
      <c r="C36" s="43" t="n">
        <v>21.73</v>
      </c>
      <c r="D36" s="60" t="n">
        <v>-2.58</v>
      </c>
      <c r="E36" s="26" t="n"/>
    </row>
    <row r="37" ht="13" customHeight="1">
      <c r="A37" s="6" t="n">
        <v>23000</v>
      </c>
      <c r="B37" s="41" t="n"/>
      <c r="C37" s="43" t="n">
        <v>21.22</v>
      </c>
      <c r="D37" s="59" t="n"/>
      <c r="E37" s="27" t="n"/>
    </row>
    <row r="38" ht="13" customHeight="1">
      <c r="A38" s="4" t="n">
        <v>23050</v>
      </c>
      <c r="B38" s="41" t="n"/>
      <c r="C38" s="43" t="n">
        <v>20.47</v>
      </c>
      <c r="D38" s="59" t="n"/>
      <c r="E38" s="26" t="n"/>
    </row>
    <row r="39" ht="13" customHeight="1">
      <c r="A39" s="6" t="n">
        <v>23100</v>
      </c>
      <c r="B39" s="41" t="n"/>
      <c r="C39" s="43" t="n">
        <v>20.28</v>
      </c>
      <c r="D39" s="59" t="n"/>
      <c r="E39" s="27" t="n"/>
    </row>
    <row r="40" ht="13" customHeight="1">
      <c r="A40" s="4" t="n">
        <v>23150</v>
      </c>
      <c r="B40" s="41" t="n"/>
      <c r="C40" s="43" t="n">
        <v>19.76</v>
      </c>
      <c r="D40" s="59" t="n"/>
      <c r="E40" s="26" t="n"/>
    </row>
    <row r="41" ht="13" customHeight="1">
      <c r="A41" s="6" t="n">
        <v>23200</v>
      </c>
      <c r="B41" s="41" t="n"/>
      <c r="C41" s="43" t="n">
        <v>19.06</v>
      </c>
      <c r="D41" s="59" t="n"/>
      <c r="E41" s="27" t="n"/>
    </row>
    <row r="42" ht="13" customHeight="1">
      <c r="A42" s="4" t="n">
        <v>23250</v>
      </c>
      <c r="B42" s="41" t="n"/>
      <c r="C42" s="43" t="n">
        <v>18.42</v>
      </c>
      <c r="D42" s="59" t="n"/>
      <c r="E42" s="26" t="n"/>
    </row>
    <row r="43" ht="13" customHeight="1">
      <c r="A43" s="6" t="n">
        <v>23300</v>
      </c>
      <c r="B43" s="41" t="n"/>
      <c r="C43" s="43" t="n">
        <v>17.57</v>
      </c>
      <c r="D43" s="59" t="n"/>
      <c r="E43" s="27" t="n"/>
    </row>
    <row r="44" ht="13" customHeight="1">
      <c r="A44" s="4" t="n">
        <v>23350</v>
      </c>
      <c r="B44" s="41" t="n"/>
      <c r="C44" s="43" t="n">
        <v>16.97</v>
      </c>
      <c r="D44" s="59" t="n"/>
      <c r="E44" s="26" t="n"/>
    </row>
    <row r="45" ht="13" customHeight="1">
      <c r="A45" s="6" t="n">
        <v>23400</v>
      </c>
      <c r="B45" s="41" t="n"/>
      <c r="C45" s="43" t="n">
        <v>16.46</v>
      </c>
      <c r="D45" s="59" t="n"/>
      <c r="E45" s="27" t="n"/>
    </row>
    <row r="46" ht="13" customHeight="1">
      <c r="A46" s="4" t="n">
        <v>23450</v>
      </c>
      <c r="B46" s="41" t="n"/>
      <c r="C46" s="43" t="n">
        <v>16.1</v>
      </c>
      <c r="D46" s="59" t="n"/>
      <c r="E46" s="26" t="n"/>
    </row>
    <row r="47" ht="13" customHeight="1">
      <c r="A47" s="6" t="n">
        <v>23500</v>
      </c>
      <c r="B47" s="41" t="n"/>
      <c r="C47" s="43" t="n">
        <v>15.56</v>
      </c>
      <c r="D47" s="59" t="n"/>
      <c r="E47" s="27" t="n"/>
    </row>
    <row r="48" ht="13" customHeight="1">
      <c r="A48" s="4" t="n">
        <v>23550</v>
      </c>
      <c r="B48" s="41" t="n"/>
      <c r="C48" s="43" t="n">
        <v>14.76</v>
      </c>
      <c r="D48" s="59" t="n"/>
      <c r="E48" s="26" t="n"/>
    </row>
    <row r="49" ht="13" customHeight="1">
      <c r="A49" s="6" t="n">
        <v>23600</v>
      </c>
      <c r="B49" s="41" t="n"/>
      <c r="C49" s="43" t="n">
        <v>14.19</v>
      </c>
      <c r="D49" s="59" t="n"/>
      <c r="E49" s="27" t="n"/>
    </row>
    <row r="50" ht="13" customHeight="1">
      <c r="A50" s="4" t="n">
        <v>23650</v>
      </c>
      <c r="B50" s="41" t="n"/>
      <c r="C50" s="43" t="n">
        <v>13.57</v>
      </c>
      <c r="D50" s="59" t="n"/>
      <c r="E50" s="26" t="n"/>
    </row>
    <row r="51" ht="13" customHeight="1">
      <c r="A51" s="6" t="n">
        <v>23700</v>
      </c>
      <c r="B51" s="41" t="n"/>
      <c r="C51" s="43" t="n">
        <v>12.93</v>
      </c>
      <c r="D51" s="59" t="n"/>
      <c r="E51" s="27" t="n"/>
    </row>
    <row r="52" ht="13" customHeight="1">
      <c r="A52" s="4" t="n">
        <v>23750</v>
      </c>
      <c r="B52" s="41" t="n"/>
      <c r="C52" s="43" t="n">
        <v>12.34</v>
      </c>
      <c r="D52" s="59" t="n"/>
      <c r="E52" s="26" t="n"/>
    </row>
    <row r="53" ht="13" customHeight="1">
      <c r="A53" s="6" t="n">
        <v>23800</v>
      </c>
      <c r="B53" s="41" t="n"/>
      <c r="C53" s="43" t="n">
        <v>11.81</v>
      </c>
      <c r="D53" s="59" t="n"/>
      <c r="E53" s="27" t="n"/>
    </row>
    <row r="54" ht="13" customHeight="1">
      <c r="A54" s="4" t="n">
        <v>23850</v>
      </c>
      <c r="B54" s="41" t="n"/>
      <c r="C54" s="43" t="n">
        <v>11.33</v>
      </c>
      <c r="D54" s="59" t="n"/>
      <c r="E54" s="26" t="n"/>
    </row>
    <row r="55" ht="13" customHeight="1">
      <c r="A55" s="6" t="n">
        <v>23900</v>
      </c>
      <c r="B55" s="41" t="n"/>
      <c r="C55" s="43" t="n">
        <v>10.95</v>
      </c>
      <c r="D55" s="59" t="n"/>
      <c r="E55" s="27" t="n"/>
    </row>
    <row r="56" ht="13" customHeight="1">
      <c r="A56" s="4" t="n">
        <v>23950</v>
      </c>
      <c r="B56" s="41" t="n"/>
      <c r="C56" s="43" t="n">
        <v>10.52</v>
      </c>
      <c r="D56" s="59" t="n"/>
      <c r="E56" s="26" t="n"/>
    </row>
    <row r="57" ht="13" customHeight="1">
      <c r="A57" s="45" t="n">
        <v>24000</v>
      </c>
      <c r="B57" s="47" t="n"/>
      <c r="C57" s="47" t="n">
        <v>10.16</v>
      </c>
      <c r="D57" s="61" t="n"/>
      <c r="E57" s="62" t="n"/>
    </row>
    <row r="58" ht="13" customHeight="1">
      <c r="A58" s="4" t="n">
        <v>24050</v>
      </c>
      <c r="B58" s="41" t="n">
        <v>6.1</v>
      </c>
      <c r="C58" s="43" t="n">
        <v>9.800000000000001</v>
      </c>
      <c r="D58" s="63" t="n">
        <v>3.7</v>
      </c>
      <c r="E58" s="26" t="n"/>
    </row>
    <row r="59" ht="13" customHeight="1">
      <c r="A59" s="6" t="n">
        <v>24100</v>
      </c>
      <c r="B59" s="41" t="n">
        <v>7.09</v>
      </c>
      <c r="C59" s="43" t="n">
        <v>9.550000000000001</v>
      </c>
      <c r="D59" s="63" t="n">
        <v>2.46</v>
      </c>
      <c r="E59" s="27" t="n"/>
    </row>
    <row r="60" ht="13" customHeight="1">
      <c r="A60" s="4" t="n">
        <v>24150</v>
      </c>
      <c r="B60" s="41" t="n">
        <v>7.24</v>
      </c>
      <c r="C60" s="43" t="n">
        <v>9.289999999999999</v>
      </c>
      <c r="D60" s="63" t="n">
        <v>2.05</v>
      </c>
      <c r="E60" s="26" t="n"/>
    </row>
    <row r="61" ht="13" customHeight="1">
      <c r="A61" s="6" t="n">
        <v>24200</v>
      </c>
      <c r="B61" s="41" t="n">
        <v>7.26</v>
      </c>
      <c r="C61" s="43" t="n">
        <v>9.15</v>
      </c>
      <c r="D61" s="59" t="n">
        <v>1.89</v>
      </c>
      <c r="E61" s="27" t="n"/>
    </row>
    <row r="62" ht="13" customHeight="1">
      <c r="A62" s="4" t="n">
        <v>24250</v>
      </c>
      <c r="B62" s="41" t="n">
        <v>7.52</v>
      </c>
      <c r="C62" s="43" t="n">
        <v>9.15</v>
      </c>
      <c r="D62" s="59" t="n">
        <v>1.63</v>
      </c>
      <c r="E62" s="26" t="n"/>
    </row>
    <row r="63" ht="13" customHeight="1">
      <c r="A63" s="6" t="n">
        <v>24300</v>
      </c>
      <c r="B63" s="41" t="n">
        <v>7.56</v>
      </c>
      <c r="C63" s="43" t="n">
        <v>9.109999999999999</v>
      </c>
      <c r="D63" s="59" t="n">
        <v>1.55</v>
      </c>
      <c r="E63" s="27" t="n"/>
    </row>
    <row r="64" ht="13" customHeight="1">
      <c r="A64" s="4" t="n">
        <v>24350</v>
      </c>
      <c r="B64" s="41" t="n">
        <v>7.59</v>
      </c>
      <c r="C64" s="43" t="n">
        <v>9.25</v>
      </c>
      <c r="D64" s="59" t="n">
        <v>1.66</v>
      </c>
      <c r="E64" s="26" t="n"/>
    </row>
    <row r="65" ht="13" customHeight="1">
      <c r="A65" s="6" t="n">
        <v>24400</v>
      </c>
      <c r="B65" s="41" t="n">
        <v>7.67</v>
      </c>
      <c r="C65" s="43" t="n">
        <v>9.35</v>
      </c>
      <c r="D65" s="59" t="n">
        <v>1.68</v>
      </c>
      <c r="E65" s="27" t="n"/>
    </row>
    <row r="66" ht="13" customHeight="1">
      <c r="A66" s="4" t="n">
        <v>24450</v>
      </c>
      <c r="B66" s="41" t="n">
        <v>7.81</v>
      </c>
      <c r="C66" s="43" t="n">
        <v>9.710000000000001</v>
      </c>
      <c r="D66" s="59" t="n">
        <v>1.9</v>
      </c>
      <c r="E66" s="26" t="n"/>
    </row>
    <row r="67" ht="13" customHeight="1">
      <c r="A67" s="6" t="n">
        <v>24500</v>
      </c>
      <c r="B67" s="41" t="n">
        <v>7.97</v>
      </c>
      <c r="C67" s="43" t="n">
        <v>10.19</v>
      </c>
      <c r="D67" s="63" t="n">
        <v>2.22</v>
      </c>
      <c r="E67" s="27" t="n"/>
    </row>
    <row r="68" ht="13" customHeight="1">
      <c r="A68" s="4" t="n">
        <v>24550</v>
      </c>
      <c r="B68" s="41" t="n">
        <v>8.09</v>
      </c>
      <c r="C68" s="43" t="n">
        <v>10.66</v>
      </c>
      <c r="D68" s="63" t="n">
        <v>2.57</v>
      </c>
      <c r="E68" s="26" t="n"/>
    </row>
    <row r="69" ht="13" customHeight="1">
      <c r="A69" s="6" t="n">
        <v>24600</v>
      </c>
      <c r="B69" s="41" t="n">
        <v>8.35</v>
      </c>
      <c r="C69" s="43" t="n">
        <v>11.48</v>
      </c>
      <c r="D69" s="63" t="n">
        <v>3.13</v>
      </c>
      <c r="E69" s="27" t="n"/>
    </row>
    <row r="70" ht="13" customHeight="1">
      <c r="A70" s="4" t="n">
        <v>24650</v>
      </c>
      <c r="B70" s="41" t="n">
        <v>8.68</v>
      </c>
      <c r="C70" s="43" t="n">
        <v>11.66</v>
      </c>
      <c r="D70" s="63" t="n">
        <v>2.98</v>
      </c>
      <c r="E70" s="26" t="n"/>
    </row>
    <row r="71" ht="13" customHeight="1">
      <c r="A71" s="6" t="n">
        <v>24700</v>
      </c>
      <c r="B71" s="41" t="n">
        <v>9.050000000000001</v>
      </c>
      <c r="C71" s="43" t="n">
        <v>12.48</v>
      </c>
      <c r="D71" s="63" t="n">
        <v>3.43</v>
      </c>
      <c r="E71" s="27" t="n"/>
    </row>
    <row r="72" ht="13" customHeight="1">
      <c r="A72" s="4" t="n">
        <v>24750</v>
      </c>
      <c r="B72" s="41" t="n">
        <v>9.65</v>
      </c>
      <c r="C72" s="43" t="n">
        <v>14.34</v>
      </c>
      <c r="D72" s="63" t="n">
        <v>4.69</v>
      </c>
      <c r="E72" s="26" t="n"/>
    </row>
    <row r="73" ht="13" customHeight="1">
      <c r="A73" s="6" t="n">
        <v>24800</v>
      </c>
      <c r="B73" s="41" t="n">
        <v>10.19</v>
      </c>
      <c r="C73" s="43" t="n">
        <v>14.9</v>
      </c>
      <c r="D73" s="63" t="n">
        <v>4.71</v>
      </c>
      <c r="E73" s="27" t="n"/>
    </row>
    <row r="74" ht="13" customHeight="1">
      <c r="A74" s="4" t="n">
        <v>24850</v>
      </c>
      <c r="B74" s="41" t="n">
        <v>10.74</v>
      </c>
      <c r="C74" s="43" t="n">
        <v>15.71</v>
      </c>
      <c r="D74" s="63" t="n">
        <v>4.97</v>
      </c>
      <c r="E74" s="26" t="n"/>
    </row>
    <row r="75" ht="13" customHeight="1">
      <c r="A75" s="6" t="n">
        <v>24900</v>
      </c>
      <c r="B75" s="41" t="n">
        <v>11.35</v>
      </c>
      <c r="C75" s="43" t="n">
        <v>17.17</v>
      </c>
      <c r="D75" s="63" t="n">
        <v>5.82</v>
      </c>
      <c r="E75" s="27" t="n"/>
    </row>
    <row r="76" ht="13" customHeight="1">
      <c r="A76" s="4" t="n">
        <v>24950</v>
      </c>
      <c r="B76" s="41" t="n">
        <v>12.05</v>
      </c>
      <c r="C76" s="43" t="n">
        <v>17.52</v>
      </c>
      <c r="D76" s="63" t="n">
        <v>5.47</v>
      </c>
      <c r="E76" s="26" t="n"/>
    </row>
    <row r="77" ht="13" customHeight="1">
      <c r="A77" s="6" t="n">
        <v>25000</v>
      </c>
      <c r="B77" s="41" t="n">
        <v>12.58</v>
      </c>
      <c r="C77" s="43" t="n">
        <v>19.07</v>
      </c>
      <c r="D77" s="63" t="n">
        <v>6.49</v>
      </c>
      <c r="E77" s="27" t="n"/>
    </row>
    <row r="78" ht="13" customHeight="1">
      <c r="A78" s="4" t="n">
        <v>25050</v>
      </c>
      <c r="B78" s="41" t="n">
        <v>13.17</v>
      </c>
      <c r="C78" s="43" t="n">
        <v>19.91</v>
      </c>
      <c r="D78" s="63" t="n">
        <v>6.74</v>
      </c>
      <c r="E78" s="26" t="n"/>
    </row>
    <row r="79" ht="13" customHeight="1">
      <c r="A79" s="6" t="n">
        <v>25100</v>
      </c>
      <c r="B79" s="41" t="n">
        <v>13.66</v>
      </c>
      <c r="C79" s="43" t="n">
        <v>19.35</v>
      </c>
      <c r="D79" s="63" t="n">
        <v>5.69</v>
      </c>
      <c r="E79" s="27" t="n"/>
    </row>
    <row r="80" ht="13" customHeight="1">
      <c r="A80" s="4" t="n">
        <v>25150</v>
      </c>
      <c r="B80" s="41" t="n">
        <v>14.17</v>
      </c>
      <c r="C80" s="43" t="n">
        <v>21.86</v>
      </c>
      <c r="D80" s="63" t="n">
        <v>7.69</v>
      </c>
      <c r="E80" s="26" t="n"/>
    </row>
    <row r="81" ht="13" customHeight="1">
      <c r="A81" s="6" t="n">
        <v>25200</v>
      </c>
      <c r="B81" s="41" t="n">
        <v>14.48</v>
      </c>
      <c r="C81" s="43" t="n">
        <v>22.59</v>
      </c>
      <c r="D81" s="63" t="n">
        <v>8.109999999999999</v>
      </c>
      <c r="E81" s="27" t="n"/>
    </row>
    <row r="82" ht="13" customHeight="1">
      <c r="A82" s="4" t="n">
        <v>25250</v>
      </c>
      <c r="B82" s="41" t="n">
        <v>15.07</v>
      </c>
      <c r="C82" s="43" t="n">
        <v>17.1</v>
      </c>
      <c r="D82" s="63" t="n">
        <v>2.03</v>
      </c>
      <c r="E82" s="26" t="n"/>
    </row>
    <row r="83" ht="13" customHeight="1">
      <c r="A83" s="6" t="n">
        <v>25300</v>
      </c>
      <c r="B83" s="41" t="n">
        <v>15.65</v>
      </c>
      <c r="C83" s="43" t="n">
        <v>23.68</v>
      </c>
      <c r="D83" s="63" t="n">
        <v>8.029999999999999</v>
      </c>
      <c r="E83" s="27" t="n"/>
    </row>
    <row r="84" ht="13" customHeight="1">
      <c r="A84" s="4" t="n">
        <v>25350</v>
      </c>
      <c r="B84" s="41" t="n">
        <v>16.22</v>
      </c>
      <c r="C84" s="43" t="n">
        <v>25.13</v>
      </c>
      <c r="D84" s="63" t="n">
        <v>8.91</v>
      </c>
      <c r="E84" s="26" t="n"/>
    </row>
    <row r="85" ht="13" customHeight="1">
      <c r="A85" s="6" t="n">
        <v>25400</v>
      </c>
      <c r="B85" s="41" t="n">
        <v>16.88</v>
      </c>
      <c r="C85" s="43" t="n"/>
      <c r="D85" s="59" t="n"/>
      <c r="E85" s="27" t="n"/>
    </row>
    <row r="86" ht="13" customHeight="1">
      <c r="A86" s="4" t="n">
        <v>25450</v>
      </c>
      <c r="B86" s="41" t="n">
        <v>17.17</v>
      </c>
      <c r="C86" s="43" t="n">
        <v>28.19</v>
      </c>
      <c r="D86" s="63" t="n">
        <v>11.02</v>
      </c>
      <c r="E86" s="26" t="n"/>
    </row>
    <row r="87" ht="13" customHeight="1">
      <c r="A87" s="6" t="n">
        <v>25500</v>
      </c>
      <c r="B87" s="41" t="n">
        <v>17.95</v>
      </c>
      <c r="C87" s="43" t="n">
        <v>26.75</v>
      </c>
      <c r="D87" s="63" t="n">
        <v>8.800000000000001</v>
      </c>
      <c r="E87" s="27" t="n"/>
    </row>
    <row r="88" ht="13" customHeight="1">
      <c r="A88" s="4" t="n">
        <v>25550</v>
      </c>
      <c r="B88" s="41" t="n">
        <v>18.59</v>
      </c>
      <c r="C88" s="43" t="n">
        <v>28.91</v>
      </c>
      <c r="D88" s="63" t="n">
        <v>10.32</v>
      </c>
      <c r="E88" s="26" t="n"/>
    </row>
    <row r="89" ht="13" customHeight="1">
      <c r="A89" s="6" t="n">
        <v>25600</v>
      </c>
      <c r="B89" s="41" t="n">
        <v>18.94</v>
      </c>
      <c r="C89" s="43" t="n">
        <v>31.17</v>
      </c>
      <c r="D89" s="63" t="n">
        <v>12.23</v>
      </c>
      <c r="E89" s="27" t="n"/>
    </row>
    <row r="90" ht="13" customHeight="1">
      <c r="A90" s="4" t="n">
        <v>25650</v>
      </c>
      <c r="B90" s="41" t="n">
        <v>19.73</v>
      </c>
      <c r="C90" s="43" t="n">
        <v>27.61</v>
      </c>
      <c r="D90" s="63" t="n">
        <v>7.88</v>
      </c>
      <c r="E90" s="26" t="n"/>
    </row>
    <row r="91" ht="13" customHeight="1">
      <c r="A91" s="6" t="n">
        <v>25700</v>
      </c>
      <c r="B91" s="41" t="n">
        <v>20.03</v>
      </c>
      <c r="C91" s="43" t="n"/>
      <c r="D91" s="59" t="n"/>
      <c r="E91" s="27" t="n"/>
    </row>
    <row r="92" ht="13" customHeight="1">
      <c r="A92" s="4" t="n">
        <v>25750</v>
      </c>
      <c r="B92" s="41" t="n">
        <v>20.47</v>
      </c>
      <c r="C92" s="43" t="n"/>
      <c r="D92" s="59" t="n"/>
      <c r="E92" s="26" t="n"/>
    </row>
    <row r="93" ht="13" customHeight="1">
      <c r="A93" s="6" t="n">
        <v>25800</v>
      </c>
      <c r="B93" s="41" t="n">
        <v>21.08</v>
      </c>
      <c r="C93" s="43" t="n">
        <v>33.31</v>
      </c>
      <c r="D93" s="63" t="n">
        <v>12.23</v>
      </c>
      <c r="E93" s="27" t="n"/>
    </row>
    <row r="94" ht="13" customHeight="1">
      <c r="A94" s="4" t="n">
        <v>25850</v>
      </c>
      <c r="B94" s="41" t="n">
        <v>21.69</v>
      </c>
      <c r="C94" s="43" t="n"/>
      <c r="D94" s="59" t="n"/>
      <c r="E94" s="26" t="n"/>
    </row>
    <row r="95" ht="13" customHeight="1">
      <c r="A95" s="6" t="n">
        <v>25900</v>
      </c>
      <c r="B95" s="41" t="n">
        <v>21.86</v>
      </c>
      <c r="C95" s="43" t="n"/>
      <c r="D95" s="59" t="n"/>
      <c r="E95" s="27" t="n"/>
    </row>
    <row r="96" ht="13" customHeight="1">
      <c r="A96" s="4" t="n">
        <v>25950</v>
      </c>
      <c r="B96" s="41" t="n">
        <v>22.46</v>
      </c>
      <c r="C96" s="43" t="n"/>
      <c r="D96" s="59" t="n"/>
      <c r="E96" s="26" t="n"/>
    </row>
    <row r="97" ht="13" customHeight="1">
      <c r="A97" s="6" t="n">
        <v>26000</v>
      </c>
      <c r="B97" s="41" t="n">
        <v>22.79</v>
      </c>
      <c r="C97" s="43" t="n">
        <v>35.79</v>
      </c>
      <c r="D97" s="63" t="n">
        <v>13</v>
      </c>
      <c r="E97" s="27" t="n"/>
    </row>
    <row r="98" ht="13" customHeight="1">
      <c r="A98" s="4" t="n">
        <v>26050</v>
      </c>
      <c r="B98" s="41" t="n">
        <v>23.37</v>
      </c>
      <c r="C98" s="43" t="n"/>
      <c r="D98" s="59" t="n"/>
      <c r="E98" s="26" t="n"/>
    </row>
    <row r="99" ht="13" customHeight="1">
      <c r="A99" s="6" t="n">
        <v>26100</v>
      </c>
      <c r="B99" s="41" t="n">
        <v>24.22</v>
      </c>
      <c r="C99" s="43" t="n"/>
      <c r="D99" s="59" t="n"/>
      <c r="E99" s="27" t="n"/>
    </row>
    <row r="100" ht="13" customHeight="1">
      <c r="A100" s="4" t="n">
        <v>26150</v>
      </c>
      <c r="B100" s="41" t="n">
        <v>24.53</v>
      </c>
      <c r="C100" s="43" t="n"/>
      <c r="D100" s="59" t="n"/>
      <c r="E100" s="26" t="n"/>
    </row>
    <row r="101" ht="13" customHeight="1">
      <c r="A101" s="6" t="n">
        <v>26200</v>
      </c>
      <c r="B101" s="41" t="n">
        <v>24.8</v>
      </c>
      <c r="C101" s="43" t="n"/>
      <c r="D101" s="59" t="n"/>
      <c r="E101" s="27" t="n"/>
    </row>
    <row r="102" ht="13" customHeight="1">
      <c r="A102" s="4" t="n">
        <v>26250</v>
      </c>
      <c r="B102" s="41" t="n">
        <v>25.37</v>
      </c>
      <c r="C102" s="43" t="n"/>
      <c r="D102" s="59" t="n"/>
      <c r="E102" s="26" t="n"/>
    </row>
    <row r="103" ht="13" customHeight="1">
      <c r="A103" s="6" t="n">
        <v>26300</v>
      </c>
      <c r="B103" s="41" t="n">
        <v>25.94</v>
      </c>
      <c r="C103" s="43" t="n"/>
      <c r="D103" s="59" t="n"/>
      <c r="E103" s="27" t="n"/>
    </row>
  </sheetData>
  <mergeCells count="2">
    <mergeCell ref="A1:E1"/>
    <mergeCell ref="B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6" customWidth="1" min="9" max="9"/>
  </cols>
  <sheetData>
    <row r="1" ht="22" customHeight="1">
      <c r="A1" s="1" t="inlineStr">
        <is>
          <t>NSE FAO — Composite Sentiment Summary</t>
        </is>
      </c>
    </row>
    <row r="2" ht="28" customHeight="1">
      <c r="A2" s="49" t="inlineStr">
        <is>
          <t>Participant</t>
        </is>
      </c>
      <c r="B2" s="49" t="inlineStr">
        <is>
          <t>Signal</t>
        </is>
      </c>
      <c r="C2" s="49" t="inlineStr">
        <is>
          <t>Jun 29 2026</t>
        </is>
      </c>
      <c r="D2" s="49" t="inlineStr">
        <is>
          <t>Jun 30 2026</t>
        </is>
      </c>
      <c r="E2" s="49" t="inlineStr">
        <is>
          <t>Jul 01 2026</t>
        </is>
      </c>
      <c r="F2" s="49" t="inlineStr">
        <is>
          <t>Jul 02 2026</t>
        </is>
      </c>
      <c r="G2" s="49" t="inlineStr">
        <is>
          <t>Jul 03 2026</t>
        </is>
      </c>
      <c r="H2" s="49" t="inlineStr">
        <is>
          <t>Latest Signal</t>
        </is>
      </c>
      <c r="I2" s="49" t="inlineStr">
        <is>
          <t>Interpretation</t>
        </is>
      </c>
    </row>
    <row r="3" ht="16" customHeight="1">
      <c r="A3" s="14" t="inlineStr">
        <is>
          <t>Client</t>
        </is>
      </c>
    </row>
    <row r="4" ht="14" customHeight="1">
      <c r="A4" s="17" t="inlineStr"/>
      <c r="B4" s="25" t="inlineStr">
        <is>
          <t>Fut Index Net OI</t>
        </is>
      </c>
      <c r="C4" s="64">
        <f>IF('Raw OI Data'!C3-'Raw OI Data'!D3&gt;0,"▲ Net Long","▼ Net Short")</f>
        <v/>
      </c>
      <c r="D4" s="64">
        <f>IF('Raw OI Data'!C7-'Raw OI Data'!D7&gt;0,"▲ Net Long","▼ Net Short")</f>
        <v/>
      </c>
      <c r="E4" s="64">
        <f>IF('Raw OI Data'!C11-'Raw OI Data'!D11&gt;0,"▲ Net Long","▼ Net Short")</f>
        <v/>
      </c>
      <c r="F4" s="64">
        <f>IF('Raw OI Data'!C15-'Raw OI Data'!D15&gt;0,"▲ Net Long","▼ Net Short")</f>
        <v/>
      </c>
      <c r="G4" s="64">
        <f>IF('Raw OI Data'!C19-'Raw OI Data'!D19&gt;0,"▲ Net Long","▼ Net Short")</f>
        <v/>
      </c>
      <c r="H4" s="64">
        <f>G4</f>
        <v/>
      </c>
      <c r="I4" s="65" t="inlineStr"/>
    </row>
    <row r="5" ht="14" customHeight="1">
      <c r="A5" s="15" t="inlineStr"/>
      <c r="B5" s="25" t="inlineStr">
        <is>
          <t>Fut Stock Net OI</t>
        </is>
      </c>
      <c r="C5" s="66">
        <f>IF('Raw OI Data'!E3-'Raw OI Data'!F3&gt;0,"▲ Net Long","▼ Net Short")</f>
        <v/>
      </c>
      <c r="D5" s="66">
        <f>IF('Raw OI Data'!E7-'Raw OI Data'!F7&gt;0,"▲ Net Long","▼ Net Short")</f>
        <v/>
      </c>
      <c r="E5" s="66">
        <f>IF('Raw OI Data'!E11-'Raw OI Data'!F11&gt;0,"▲ Net Long","▼ Net Short")</f>
        <v/>
      </c>
      <c r="F5" s="66">
        <f>IF('Raw OI Data'!E15-'Raw OI Data'!F15&gt;0,"▲ Net Long","▼ Net Short")</f>
        <v/>
      </c>
      <c r="G5" s="66">
        <f>IF('Raw OI Data'!E19-'Raw OI Data'!F19&gt;0,"▲ Net Long","▼ Net Short")</f>
        <v/>
      </c>
      <c r="H5" s="66">
        <f>G5</f>
        <v/>
      </c>
      <c r="I5" s="67" t="inlineStr"/>
    </row>
    <row r="6" ht="14" customHeight="1">
      <c r="A6" s="17" t="inlineStr"/>
      <c r="B6" s="25" t="inlineStr">
        <is>
          <t>Index OI PCR</t>
        </is>
      </c>
      <c r="C6" s="68">
        <f>IFERROR('Raw OI Data'!H3/'Raw OI Data'!G3,0)</f>
        <v/>
      </c>
      <c r="D6" s="68">
        <f>IFERROR('Raw OI Data'!H7/'Raw OI Data'!G7,0)</f>
        <v/>
      </c>
      <c r="E6" s="68">
        <f>IFERROR('Raw OI Data'!H11/'Raw OI Data'!G11,0)</f>
        <v/>
      </c>
      <c r="F6" s="68">
        <f>IFERROR('Raw OI Data'!H15/'Raw OI Data'!G15,0)</f>
        <v/>
      </c>
      <c r="G6" s="68">
        <f>IFERROR('Raw OI Data'!H19/'Raw OI Data'!G19,0)</f>
        <v/>
      </c>
      <c r="H6" s="68">
        <f>G6</f>
        <v/>
      </c>
      <c r="I6" s="65" t="inlineStr"/>
    </row>
    <row r="7" ht="14" customHeight="1">
      <c r="A7" s="15" t="inlineStr"/>
      <c r="B7" s="25" t="inlineStr">
        <is>
          <t>Total L/S Ratio</t>
        </is>
      </c>
      <c r="C7" s="69">
        <f>IFERROR('Raw OI Data'!O3/'Raw OI Data'!P3,0)</f>
        <v/>
      </c>
      <c r="D7" s="69">
        <f>IFERROR('Raw OI Data'!O7/'Raw OI Data'!P7,0)</f>
        <v/>
      </c>
      <c r="E7" s="69">
        <f>IFERROR('Raw OI Data'!O11/'Raw OI Data'!P11,0)</f>
        <v/>
      </c>
      <c r="F7" s="69">
        <f>IFERROR('Raw OI Data'!O15/'Raw OI Data'!P15,0)</f>
        <v/>
      </c>
      <c r="G7" s="69">
        <f>IFERROR('Raw OI Data'!O19/'Raw OI Data'!P19,0)</f>
        <v/>
      </c>
      <c r="H7" s="69">
        <f>G7</f>
        <v/>
      </c>
      <c r="I7" s="67" t="inlineStr"/>
    </row>
    <row r="8" ht="14" customHeight="1">
      <c r="A8" s="17" t="inlineStr"/>
      <c r="B8" s="50" t="inlineStr">
        <is>
          <t>Composite Signal</t>
        </is>
      </c>
      <c r="C8" s="70">
        <f>IF(AND(('Raw OI Data'!C3-'Raw OI Data'!D3)&gt;0,IFERROR('Raw OI Data'!H3/'Raw OI Data'!G3,1)&lt;1,IFERROR('Raw OI Data'!O3/'Raw OI Data'!P3,1)&gt;1),"🟢 Bullish",IF(AND(('Raw OI Data'!C3-'Raw OI Data'!D3)&lt;0,IFERROR('Raw OI Data'!H3/'Raw OI Data'!G3,1)&gt;1.5,IFERROR('Raw OI Data'!O3/'Raw OI Data'!P3,1)&lt;1),"🔴 Bearish",IF(AND(('Raw OI Data'!C3-'Raw OI Data'!D3)&lt;0,IFERROR('Raw OI Data'!H3/'Raw OI Data'!G3,1)&gt;1.2),"🟠 Cautious",IF(AND(('Raw OI Data'!C3-'Raw OI Data'!D3)&gt;0,IFERROR('Raw OI Data'!H3/'Raw OI Data'!G3,1)&lt;0.8),"🟢 Bullish","🟡 Neutral"))))</f>
        <v/>
      </c>
      <c r="D8" s="70">
        <f>IF(AND(('Raw OI Data'!C7-'Raw OI Data'!D7)&gt;0,IFERROR('Raw OI Data'!H7/'Raw OI Data'!G7,1)&lt;1,IFERROR('Raw OI Data'!O7/'Raw OI Data'!P7,1)&gt;1),"🟢 Bullish",IF(AND(('Raw OI Data'!C7-'Raw OI Data'!D7)&lt;0,IFERROR('Raw OI Data'!H7/'Raw OI Data'!G7,1)&gt;1.5,IFERROR('Raw OI Data'!O7/'Raw OI Data'!P7,1)&lt;1),"🔴 Bearish",IF(AND(('Raw OI Data'!C7-'Raw OI Data'!D7)&lt;0,IFERROR('Raw OI Data'!H7/'Raw OI Data'!G7,1)&gt;1.2),"🟠 Cautious",IF(AND(('Raw OI Data'!C7-'Raw OI Data'!D7)&gt;0,IFERROR('Raw OI Data'!H7/'Raw OI Data'!G7,1)&lt;0.8),"🟢 Bullish","🟡 Neutral"))))</f>
        <v/>
      </c>
      <c r="E8" s="70">
        <f>IF(AND(('Raw OI Data'!C11-'Raw OI Data'!D11)&gt;0,IFERROR('Raw OI Data'!H11/'Raw OI Data'!G11,1)&lt;1,IFERROR('Raw OI Data'!O11/'Raw OI Data'!P11,1)&gt;1),"🟢 Bullish",IF(AND(('Raw OI Data'!C11-'Raw OI Data'!D11)&lt;0,IFERROR('Raw OI Data'!H11/'Raw OI Data'!G11,1)&gt;1.5,IFERROR('Raw OI Data'!O11/'Raw OI Data'!P11,1)&lt;1),"🔴 Bearish",IF(AND(('Raw OI Data'!C11-'Raw OI Data'!D11)&lt;0,IFERROR('Raw OI Data'!H11/'Raw OI Data'!G11,1)&gt;1.2),"🟠 Cautious",IF(AND(('Raw OI Data'!C11-'Raw OI Data'!D11)&gt;0,IFERROR('Raw OI Data'!H11/'Raw OI Data'!G11,1)&lt;0.8),"🟢 Bullish","🟡 Neutral"))))</f>
        <v/>
      </c>
      <c r="F8" s="70">
        <f>IF(AND(('Raw OI Data'!C15-'Raw OI Data'!D15)&gt;0,IFERROR('Raw OI Data'!H15/'Raw OI Data'!G15,1)&lt;1,IFERROR('Raw OI Data'!O15/'Raw OI Data'!P15,1)&gt;1),"🟢 Bullish",IF(AND(('Raw OI Data'!C15-'Raw OI Data'!D15)&lt;0,IFERROR('Raw OI Data'!H15/'Raw OI Data'!G15,1)&gt;1.5,IFERROR('Raw OI Data'!O15/'Raw OI Data'!P15,1)&lt;1),"🔴 Bearish",IF(AND(('Raw OI Data'!C15-'Raw OI Data'!D15)&lt;0,IFERROR('Raw OI Data'!H15/'Raw OI Data'!G15,1)&gt;1.2),"🟠 Cautious",IF(AND(('Raw OI Data'!C15-'Raw OI Data'!D15)&gt;0,IFERROR('Raw OI Data'!H15/'Raw OI Data'!G15,1)&lt;0.8),"🟢 Bullish","🟡 Neutral"))))</f>
        <v/>
      </c>
      <c r="G8" s="70">
        <f>IF(AND(('Raw OI Data'!C19-'Raw OI Data'!D19)&gt;0,IFERROR('Raw OI Data'!H19/'Raw OI Data'!G19,1)&lt;1,IFERROR('Raw OI Data'!O19/'Raw OI Data'!P19,1)&gt;1),"🟢 Bullish",IF(AND(('Raw OI Data'!C19-'Raw OI Data'!D19)&lt;0,IFERROR('Raw OI Data'!H19/'Raw OI Data'!G19,1)&gt;1.5,IFERROR('Raw OI Data'!O19/'Raw OI Data'!P19,1)&lt;1),"🔴 Bearish",IF(AND(('Raw OI Data'!C19-'Raw OI Data'!D19)&lt;0,IFERROR('Raw OI Data'!H19/'Raw OI Data'!G19,1)&gt;1.2),"🟠 Cautious",IF(AND(('Raw OI Data'!C19-'Raw OI Data'!D19)&gt;0,IFERROR('Raw OI Data'!H19/'Raw OI Data'!G19,1)&lt;0.8),"🟢 Bullish","🟡 Neutral"))))</f>
        <v/>
      </c>
      <c r="H8" s="71">
        <f>G8</f>
        <v/>
      </c>
      <c r="I8" s="65" t="inlineStr">
        <is>
          <t>Retail — usually contra-indicator; track when extreme</t>
        </is>
      </c>
    </row>
    <row r="9" ht="16" customHeight="1">
      <c r="A9" s="14" t="inlineStr">
        <is>
          <t>DII</t>
        </is>
      </c>
    </row>
    <row r="10" ht="14" customHeight="1">
      <c r="A10" s="17" t="inlineStr"/>
      <c r="B10" s="25" t="inlineStr">
        <is>
          <t>Fut Index Net OI</t>
        </is>
      </c>
      <c r="C10" s="64">
        <f>IF('Raw OI Data'!C4-'Raw OI Data'!D4&gt;0,"▲ Net Long","▼ Net Short")</f>
        <v/>
      </c>
      <c r="D10" s="64">
        <f>IF('Raw OI Data'!C8-'Raw OI Data'!D8&gt;0,"▲ Net Long","▼ Net Short")</f>
        <v/>
      </c>
      <c r="E10" s="64">
        <f>IF('Raw OI Data'!C12-'Raw OI Data'!D12&gt;0,"▲ Net Long","▼ Net Short")</f>
        <v/>
      </c>
      <c r="F10" s="64">
        <f>IF('Raw OI Data'!C16-'Raw OI Data'!D16&gt;0,"▲ Net Long","▼ Net Short")</f>
        <v/>
      </c>
      <c r="G10" s="64">
        <f>IF('Raw OI Data'!C20-'Raw OI Data'!D20&gt;0,"▲ Net Long","▼ Net Short")</f>
        <v/>
      </c>
      <c r="H10" s="64">
        <f>G10</f>
        <v/>
      </c>
      <c r="I10" s="65" t="inlineStr"/>
    </row>
    <row r="11" ht="14" customHeight="1">
      <c r="A11" s="15" t="inlineStr"/>
      <c r="B11" s="25" t="inlineStr">
        <is>
          <t>Fut Stock Net OI</t>
        </is>
      </c>
      <c r="C11" s="66">
        <f>IF('Raw OI Data'!E4-'Raw OI Data'!F4&gt;0,"▲ Net Long","▼ Net Short")</f>
        <v/>
      </c>
      <c r="D11" s="66">
        <f>IF('Raw OI Data'!E8-'Raw OI Data'!F8&gt;0,"▲ Net Long","▼ Net Short")</f>
        <v/>
      </c>
      <c r="E11" s="66">
        <f>IF('Raw OI Data'!E12-'Raw OI Data'!F12&gt;0,"▲ Net Long","▼ Net Short")</f>
        <v/>
      </c>
      <c r="F11" s="66">
        <f>IF('Raw OI Data'!E16-'Raw OI Data'!F16&gt;0,"▲ Net Long","▼ Net Short")</f>
        <v/>
      </c>
      <c r="G11" s="66">
        <f>IF('Raw OI Data'!E20-'Raw OI Data'!F20&gt;0,"▲ Net Long","▼ Net Short")</f>
        <v/>
      </c>
      <c r="H11" s="66">
        <f>G11</f>
        <v/>
      </c>
      <c r="I11" s="67" t="inlineStr"/>
    </row>
    <row r="12" ht="14" customHeight="1">
      <c r="A12" s="17" t="inlineStr"/>
      <c r="B12" s="25" t="inlineStr">
        <is>
          <t>Index OI PCR</t>
        </is>
      </c>
      <c r="C12" s="68">
        <f>IFERROR('Raw OI Data'!H4/'Raw OI Data'!G4,0)</f>
        <v/>
      </c>
      <c r="D12" s="68">
        <f>IFERROR('Raw OI Data'!H8/'Raw OI Data'!G8,0)</f>
        <v/>
      </c>
      <c r="E12" s="68">
        <f>IFERROR('Raw OI Data'!H12/'Raw OI Data'!G12,0)</f>
        <v/>
      </c>
      <c r="F12" s="68">
        <f>IFERROR('Raw OI Data'!H16/'Raw OI Data'!G16,0)</f>
        <v/>
      </c>
      <c r="G12" s="68">
        <f>IFERROR('Raw OI Data'!H20/'Raw OI Data'!G20,0)</f>
        <v/>
      </c>
      <c r="H12" s="68">
        <f>G12</f>
        <v/>
      </c>
      <c r="I12" s="65" t="inlineStr"/>
    </row>
    <row r="13" ht="14" customHeight="1">
      <c r="A13" s="15" t="inlineStr"/>
      <c r="B13" s="25" t="inlineStr">
        <is>
          <t>Total L/S Ratio</t>
        </is>
      </c>
      <c r="C13" s="69">
        <f>IFERROR('Raw OI Data'!O4/'Raw OI Data'!P4,0)</f>
        <v/>
      </c>
      <c r="D13" s="69">
        <f>IFERROR('Raw OI Data'!O8/'Raw OI Data'!P8,0)</f>
        <v/>
      </c>
      <c r="E13" s="69">
        <f>IFERROR('Raw OI Data'!O12/'Raw OI Data'!P12,0)</f>
        <v/>
      </c>
      <c r="F13" s="69">
        <f>IFERROR('Raw OI Data'!O16/'Raw OI Data'!P16,0)</f>
        <v/>
      </c>
      <c r="G13" s="69">
        <f>IFERROR('Raw OI Data'!O20/'Raw OI Data'!P20,0)</f>
        <v/>
      </c>
      <c r="H13" s="69">
        <f>G13</f>
        <v/>
      </c>
      <c r="I13" s="67" t="inlineStr"/>
    </row>
    <row r="14" ht="14" customHeight="1">
      <c r="A14" s="17" t="inlineStr"/>
      <c r="B14" s="50" t="inlineStr">
        <is>
          <t>Composite Signal</t>
        </is>
      </c>
      <c r="C14" s="70">
        <f>IF(AND(('Raw OI Data'!C4-'Raw OI Data'!D4)&gt;0,IFERROR('Raw OI Data'!H4/'Raw OI Data'!G4,1)&lt;1,IFERROR('Raw OI Data'!O4/'Raw OI Data'!P4,1)&gt;1),"🟢 Bullish",IF(AND(('Raw OI Data'!C4-'Raw OI Data'!D4)&lt;0,IFERROR('Raw OI Data'!H4/'Raw OI Data'!G4,1)&gt;1.5,IFERROR('Raw OI Data'!O4/'Raw OI Data'!P4,1)&lt;1),"🔴 Bearish",IF(AND(('Raw OI Data'!C4-'Raw OI Data'!D4)&lt;0,IFERROR('Raw OI Data'!H4/'Raw OI Data'!G4,1)&gt;1.2),"🟠 Cautious",IF(AND(('Raw OI Data'!C4-'Raw OI Data'!D4)&gt;0,IFERROR('Raw OI Data'!H4/'Raw OI Data'!G4,1)&lt;0.8),"🟢 Bullish","🟡 Neutral"))))</f>
        <v/>
      </c>
      <c r="D14" s="70">
        <f>IF(AND(('Raw OI Data'!C8-'Raw OI Data'!D8)&gt;0,IFERROR('Raw OI Data'!H8/'Raw OI Data'!G8,1)&lt;1,IFERROR('Raw OI Data'!O8/'Raw OI Data'!P8,1)&gt;1),"🟢 Bullish",IF(AND(('Raw OI Data'!C8-'Raw OI Data'!D8)&lt;0,IFERROR('Raw OI Data'!H8/'Raw OI Data'!G8,1)&gt;1.5,IFERROR('Raw OI Data'!O8/'Raw OI Data'!P8,1)&lt;1),"🔴 Bearish",IF(AND(('Raw OI Data'!C8-'Raw OI Data'!D8)&lt;0,IFERROR('Raw OI Data'!H8/'Raw OI Data'!G8,1)&gt;1.2),"🟠 Cautious",IF(AND(('Raw OI Data'!C8-'Raw OI Data'!D8)&gt;0,IFERROR('Raw OI Data'!H8/'Raw OI Data'!G8,1)&lt;0.8),"🟢 Bullish","🟡 Neutral"))))</f>
        <v/>
      </c>
      <c r="E14" s="70">
        <f>IF(AND(('Raw OI Data'!C12-'Raw OI Data'!D12)&gt;0,IFERROR('Raw OI Data'!H12/'Raw OI Data'!G12,1)&lt;1,IFERROR('Raw OI Data'!O12/'Raw OI Data'!P12,1)&gt;1),"🟢 Bullish",IF(AND(('Raw OI Data'!C12-'Raw OI Data'!D12)&lt;0,IFERROR('Raw OI Data'!H12/'Raw OI Data'!G12,1)&gt;1.5,IFERROR('Raw OI Data'!O12/'Raw OI Data'!P12,1)&lt;1),"🔴 Bearish",IF(AND(('Raw OI Data'!C12-'Raw OI Data'!D12)&lt;0,IFERROR('Raw OI Data'!H12/'Raw OI Data'!G12,1)&gt;1.2),"🟠 Cautious",IF(AND(('Raw OI Data'!C12-'Raw OI Data'!D12)&gt;0,IFERROR('Raw OI Data'!H12/'Raw OI Data'!G12,1)&lt;0.8),"🟢 Bullish","🟡 Neutral"))))</f>
        <v/>
      </c>
      <c r="F14" s="70">
        <f>IF(AND(('Raw OI Data'!C16-'Raw OI Data'!D16)&gt;0,IFERROR('Raw OI Data'!H16/'Raw OI Data'!G16,1)&lt;1,IFERROR('Raw OI Data'!O16/'Raw OI Data'!P16,1)&gt;1),"🟢 Bullish",IF(AND(('Raw OI Data'!C16-'Raw OI Data'!D16)&lt;0,IFERROR('Raw OI Data'!H16/'Raw OI Data'!G16,1)&gt;1.5,IFERROR('Raw OI Data'!O16/'Raw OI Data'!P16,1)&lt;1),"🔴 Bearish",IF(AND(('Raw OI Data'!C16-'Raw OI Data'!D16)&lt;0,IFERROR('Raw OI Data'!H16/'Raw OI Data'!G16,1)&gt;1.2),"🟠 Cautious",IF(AND(('Raw OI Data'!C16-'Raw OI Data'!D16)&gt;0,IFERROR('Raw OI Data'!H16/'Raw OI Data'!G16,1)&lt;0.8),"🟢 Bullish","🟡 Neutral"))))</f>
        <v/>
      </c>
      <c r="G14" s="70">
        <f>IF(AND(('Raw OI Data'!C20-'Raw OI Data'!D20)&gt;0,IFERROR('Raw OI Data'!H20/'Raw OI Data'!G20,1)&lt;1,IFERROR('Raw OI Data'!O20/'Raw OI Data'!P20,1)&gt;1),"🟢 Bullish",IF(AND(('Raw OI Data'!C20-'Raw OI Data'!D20)&lt;0,IFERROR('Raw OI Data'!H20/'Raw OI Data'!G20,1)&gt;1.5,IFERROR('Raw OI Data'!O20/'Raw OI Data'!P20,1)&lt;1),"🔴 Bearish",IF(AND(('Raw OI Data'!C20-'Raw OI Data'!D20)&lt;0,IFERROR('Raw OI Data'!H20/'Raw OI Data'!G20,1)&gt;1.2),"🟠 Cautious",IF(AND(('Raw OI Data'!C20-'Raw OI Data'!D20)&gt;0,IFERROR('Raw OI Data'!H20/'Raw OI Data'!G20,1)&lt;0.8),"🟢 Bullish","🟡 Neutral"))))</f>
        <v/>
      </c>
      <c r="H14" s="71">
        <f>G14</f>
        <v/>
      </c>
      <c r="I14" s="65" t="inlineStr">
        <is>
          <t>Domestic Institutions — typically hedged; PCR key</t>
        </is>
      </c>
    </row>
    <row r="15" ht="16" customHeight="1">
      <c r="A15" s="14" t="inlineStr">
        <is>
          <t>FII</t>
        </is>
      </c>
    </row>
    <row r="16" ht="14" customHeight="1">
      <c r="A16" s="17" t="inlineStr"/>
      <c r="B16" s="25" t="inlineStr">
        <is>
          <t>Fut Index Net OI</t>
        </is>
      </c>
      <c r="C16" s="64">
        <f>IF('Raw OI Data'!C5-'Raw OI Data'!D5&gt;0,"▲ Net Long","▼ Net Short")</f>
        <v/>
      </c>
      <c r="D16" s="64">
        <f>IF('Raw OI Data'!C9-'Raw OI Data'!D9&gt;0,"▲ Net Long","▼ Net Short")</f>
        <v/>
      </c>
      <c r="E16" s="64">
        <f>IF('Raw OI Data'!C13-'Raw OI Data'!D13&gt;0,"▲ Net Long","▼ Net Short")</f>
        <v/>
      </c>
      <c r="F16" s="64">
        <f>IF('Raw OI Data'!C17-'Raw OI Data'!D17&gt;0,"▲ Net Long","▼ Net Short")</f>
        <v/>
      </c>
      <c r="G16" s="64">
        <f>IF('Raw OI Data'!C21-'Raw OI Data'!D21&gt;0,"▲ Net Long","▼ Net Short")</f>
        <v/>
      </c>
      <c r="H16" s="64">
        <f>G16</f>
        <v/>
      </c>
      <c r="I16" s="65" t="inlineStr"/>
    </row>
    <row r="17" ht="14" customHeight="1">
      <c r="A17" s="15" t="inlineStr"/>
      <c r="B17" s="25" t="inlineStr">
        <is>
          <t>Fut Stock Net OI</t>
        </is>
      </c>
      <c r="C17" s="66">
        <f>IF('Raw OI Data'!E5-'Raw OI Data'!F5&gt;0,"▲ Net Long","▼ Net Short")</f>
        <v/>
      </c>
      <c r="D17" s="66">
        <f>IF('Raw OI Data'!E9-'Raw OI Data'!F9&gt;0,"▲ Net Long","▼ Net Short")</f>
        <v/>
      </c>
      <c r="E17" s="66">
        <f>IF('Raw OI Data'!E13-'Raw OI Data'!F13&gt;0,"▲ Net Long","▼ Net Short")</f>
        <v/>
      </c>
      <c r="F17" s="66">
        <f>IF('Raw OI Data'!E17-'Raw OI Data'!F17&gt;0,"▲ Net Long","▼ Net Short")</f>
        <v/>
      </c>
      <c r="G17" s="66">
        <f>IF('Raw OI Data'!E21-'Raw OI Data'!F21&gt;0,"▲ Net Long","▼ Net Short")</f>
        <v/>
      </c>
      <c r="H17" s="66">
        <f>G17</f>
        <v/>
      </c>
      <c r="I17" s="67" t="inlineStr"/>
    </row>
    <row r="18" ht="14" customHeight="1">
      <c r="A18" s="17" t="inlineStr"/>
      <c r="B18" s="25" t="inlineStr">
        <is>
          <t>Index OI PCR</t>
        </is>
      </c>
      <c r="C18" s="68">
        <f>IFERROR('Raw OI Data'!H5/'Raw OI Data'!G5,0)</f>
        <v/>
      </c>
      <c r="D18" s="68">
        <f>IFERROR('Raw OI Data'!H9/'Raw OI Data'!G9,0)</f>
        <v/>
      </c>
      <c r="E18" s="68">
        <f>IFERROR('Raw OI Data'!H13/'Raw OI Data'!G13,0)</f>
        <v/>
      </c>
      <c r="F18" s="68">
        <f>IFERROR('Raw OI Data'!H17/'Raw OI Data'!G17,0)</f>
        <v/>
      </c>
      <c r="G18" s="68">
        <f>IFERROR('Raw OI Data'!H21/'Raw OI Data'!G21,0)</f>
        <v/>
      </c>
      <c r="H18" s="68">
        <f>G18</f>
        <v/>
      </c>
      <c r="I18" s="65" t="inlineStr"/>
    </row>
    <row r="19" ht="14" customHeight="1">
      <c r="A19" s="15" t="inlineStr"/>
      <c r="B19" s="25" t="inlineStr">
        <is>
          <t>Total L/S Ratio</t>
        </is>
      </c>
      <c r="C19" s="69">
        <f>IFERROR('Raw OI Data'!O5/'Raw OI Data'!P5,0)</f>
        <v/>
      </c>
      <c r="D19" s="69">
        <f>IFERROR('Raw OI Data'!O9/'Raw OI Data'!P9,0)</f>
        <v/>
      </c>
      <c r="E19" s="69">
        <f>IFERROR('Raw OI Data'!O13/'Raw OI Data'!P13,0)</f>
        <v/>
      </c>
      <c r="F19" s="69">
        <f>IFERROR('Raw OI Data'!O17/'Raw OI Data'!P17,0)</f>
        <v/>
      </c>
      <c r="G19" s="69">
        <f>IFERROR('Raw OI Data'!O21/'Raw OI Data'!P21,0)</f>
        <v/>
      </c>
      <c r="H19" s="69">
        <f>G19</f>
        <v/>
      </c>
      <c r="I19" s="67" t="inlineStr"/>
    </row>
    <row r="20" ht="14" customHeight="1">
      <c r="A20" s="17" t="inlineStr"/>
      <c r="B20" s="50" t="inlineStr">
        <is>
          <t>Composite Signal</t>
        </is>
      </c>
      <c r="C20" s="70">
        <f>IF(AND(('Raw OI Data'!C5-'Raw OI Data'!D5)&gt;0,IFERROR('Raw OI Data'!H5/'Raw OI Data'!G5,1)&lt;1,IFERROR('Raw OI Data'!O5/'Raw OI Data'!P5,1)&gt;1),"🟢 Bullish",IF(AND(('Raw OI Data'!C5-'Raw OI Data'!D5)&lt;0,IFERROR('Raw OI Data'!H5/'Raw OI Data'!G5,1)&gt;1.5,IFERROR('Raw OI Data'!O5/'Raw OI Data'!P5,1)&lt;1),"🔴 Bearish",IF(AND(('Raw OI Data'!C5-'Raw OI Data'!D5)&lt;0,IFERROR('Raw OI Data'!H5/'Raw OI Data'!G5,1)&gt;1.2),"🟠 Cautious",IF(AND(('Raw OI Data'!C5-'Raw OI Data'!D5)&gt;0,IFERROR('Raw OI Data'!H5/'Raw OI Data'!G5,1)&lt;0.8),"🟢 Bullish","🟡 Neutral"))))</f>
        <v/>
      </c>
      <c r="D20" s="70">
        <f>IF(AND(('Raw OI Data'!C9-'Raw OI Data'!D9)&gt;0,IFERROR('Raw OI Data'!H9/'Raw OI Data'!G9,1)&lt;1,IFERROR('Raw OI Data'!O9/'Raw OI Data'!P9,1)&gt;1),"🟢 Bullish",IF(AND(('Raw OI Data'!C9-'Raw OI Data'!D9)&lt;0,IFERROR('Raw OI Data'!H9/'Raw OI Data'!G9,1)&gt;1.5,IFERROR('Raw OI Data'!O9/'Raw OI Data'!P9,1)&lt;1),"🔴 Bearish",IF(AND(('Raw OI Data'!C9-'Raw OI Data'!D9)&lt;0,IFERROR('Raw OI Data'!H9/'Raw OI Data'!G9,1)&gt;1.2),"🟠 Cautious",IF(AND(('Raw OI Data'!C9-'Raw OI Data'!D9)&gt;0,IFERROR('Raw OI Data'!H9/'Raw OI Data'!G9,1)&lt;0.8),"🟢 Bullish","🟡 Neutral"))))</f>
        <v/>
      </c>
      <c r="E20" s="70">
        <f>IF(AND(('Raw OI Data'!C13-'Raw OI Data'!D13)&gt;0,IFERROR('Raw OI Data'!H13/'Raw OI Data'!G13,1)&lt;1,IFERROR('Raw OI Data'!O13/'Raw OI Data'!P13,1)&gt;1),"🟢 Bullish",IF(AND(('Raw OI Data'!C13-'Raw OI Data'!D13)&lt;0,IFERROR('Raw OI Data'!H13/'Raw OI Data'!G13,1)&gt;1.5,IFERROR('Raw OI Data'!O13/'Raw OI Data'!P13,1)&lt;1),"🔴 Bearish",IF(AND(('Raw OI Data'!C13-'Raw OI Data'!D13)&lt;0,IFERROR('Raw OI Data'!H13/'Raw OI Data'!G13,1)&gt;1.2),"🟠 Cautious",IF(AND(('Raw OI Data'!C13-'Raw OI Data'!D13)&gt;0,IFERROR('Raw OI Data'!H13/'Raw OI Data'!G13,1)&lt;0.8),"🟢 Bullish","🟡 Neutral"))))</f>
        <v/>
      </c>
      <c r="F20" s="70">
        <f>IF(AND(('Raw OI Data'!C17-'Raw OI Data'!D17)&gt;0,IFERROR('Raw OI Data'!H17/'Raw OI Data'!G17,1)&lt;1,IFERROR('Raw OI Data'!O17/'Raw OI Data'!P17,1)&gt;1),"🟢 Bullish",IF(AND(('Raw OI Data'!C17-'Raw OI Data'!D17)&lt;0,IFERROR('Raw OI Data'!H17/'Raw OI Data'!G17,1)&gt;1.5,IFERROR('Raw OI Data'!O17/'Raw OI Data'!P17,1)&lt;1),"🔴 Bearish",IF(AND(('Raw OI Data'!C17-'Raw OI Data'!D17)&lt;0,IFERROR('Raw OI Data'!H17/'Raw OI Data'!G17,1)&gt;1.2),"🟠 Cautious",IF(AND(('Raw OI Data'!C17-'Raw OI Data'!D17)&gt;0,IFERROR('Raw OI Data'!H17/'Raw OI Data'!G17,1)&lt;0.8),"🟢 Bullish","🟡 Neutral"))))</f>
        <v/>
      </c>
      <c r="G20" s="70">
        <f>IF(AND(('Raw OI Data'!C21-'Raw OI Data'!D21)&gt;0,IFERROR('Raw OI Data'!H21/'Raw OI Data'!G21,1)&lt;1,IFERROR('Raw OI Data'!O21/'Raw OI Data'!P21,1)&gt;1),"🟢 Bullish",IF(AND(('Raw OI Data'!C21-'Raw OI Data'!D21)&lt;0,IFERROR('Raw OI Data'!H21/'Raw OI Data'!G21,1)&gt;1.5,IFERROR('Raw OI Data'!O21/'Raw OI Data'!P21,1)&lt;1),"🔴 Bearish",IF(AND(('Raw OI Data'!C21-'Raw OI Data'!D21)&lt;0,IFERROR('Raw OI Data'!H21/'Raw OI Data'!G21,1)&gt;1.2),"🟠 Cautious",IF(AND(('Raw OI Data'!C21-'Raw OI Data'!D21)&gt;0,IFERROR('Raw OI Data'!H21/'Raw OI Data'!G21,1)&lt;0.8),"🟢 Bullish","🟡 Neutral"))))</f>
        <v/>
      </c>
      <c r="H20" s="71">
        <f>G20</f>
        <v/>
      </c>
      <c r="I20" s="65" t="inlineStr">
        <is>
          <t>Foreign Institutions — directional alpha signal</t>
        </is>
      </c>
    </row>
    <row r="21" ht="16" customHeight="1">
      <c r="A21" s="14" t="inlineStr">
        <is>
          <t>Pro</t>
        </is>
      </c>
    </row>
    <row r="22" ht="14" customHeight="1">
      <c r="A22" s="17" t="inlineStr"/>
      <c r="B22" s="25" t="inlineStr">
        <is>
          <t>Fut Index Net OI</t>
        </is>
      </c>
      <c r="C22" s="64">
        <f>IF('Raw OI Data'!C6-'Raw OI Data'!D6&gt;0,"▲ Net Long","▼ Net Short")</f>
        <v/>
      </c>
      <c r="D22" s="64">
        <f>IF('Raw OI Data'!C10-'Raw OI Data'!D10&gt;0,"▲ Net Long","▼ Net Short")</f>
        <v/>
      </c>
      <c r="E22" s="64">
        <f>IF('Raw OI Data'!C14-'Raw OI Data'!D14&gt;0,"▲ Net Long","▼ Net Short")</f>
        <v/>
      </c>
      <c r="F22" s="64">
        <f>IF('Raw OI Data'!C18-'Raw OI Data'!D18&gt;0,"▲ Net Long","▼ Net Short")</f>
        <v/>
      </c>
      <c r="G22" s="64">
        <f>IF('Raw OI Data'!C22-'Raw OI Data'!D22&gt;0,"▲ Net Long","▼ Net Short")</f>
        <v/>
      </c>
      <c r="H22" s="64">
        <f>G22</f>
        <v/>
      </c>
      <c r="I22" s="65" t="inlineStr"/>
    </row>
    <row r="23" ht="14" customHeight="1">
      <c r="A23" s="15" t="inlineStr"/>
      <c r="B23" s="25" t="inlineStr">
        <is>
          <t>Fut Stock Net OI</t>
        </is>
      </c>
      <c r="C23" s="66">
        <f>IF('Raw OI Data'!E6-'Raw OI Data'!F6&gt;0,"▲ Net Long","▼ Net Short")</f>
        <v/>
      </c>
      <c r="D23" s="66">
        <f>IF('Raw OI Data'!E10-'Raw OI Data'!F10&gt;0,"▲ Net Long","▼ Net Short")</f>
        <v/>
      </c>
      <c r="E23" s="66">
        <f>IF('Raw OI Data'!E14-'Raw OI Data'!F14&gt;0,"▲ Net Long","▼ Net Short")</f>
        <v/>
      </c>
      <c r="F23" s="66">
        <f>IF('Raw OI Data'!E18-'Raw OI Data'!F18&gt;0,"▲ Net Long","▼ Net Short")</f>
        <v/>
      </c>
      <c r="G23" s="66">
        <f>IF('Raw OI Data'!E22-'Raw OI Data'!F22&gt;0,"▲ Net Long","▼ Net Short")</f>
        <v/>
      </c>
      <c r="H23" s="66">
        <f>G23</f>
        <v/>
      </c>
      <c r="I23" s="67" t="inlineStr"/>
    </row>
    <row r="24" ht="14" customHeight="1">
      <c r="A24" s="17" t="inlineStr"/>
      <c r="B24" s="25" t="inlineStr">
        <is>
          <t>Index OI PCR</t>
        </is>
      </c>
      <c r="C24" s="68">
        <f>IFERROR('Raw OI Data'!H6/'Raw OI Data'!G6,0)</f>
        <v/>
      </c>
      <c r="D24" s="68">
        <f>IFERROR('Raw OI Data'!H10/'Raw OI Data'!G10,0)</f>
        <v/>
      </c>
      <c r="E24" s="68">
        <f>IFERROR('Raw OI Data'!H14/'Raw OI Data'!G14,0)</f>
        <v/>
      </c>
      <c r="F24" s="68">
        <f>IFERROR('Raw OI Data'!H18/'Raw OI Data'!G18,0)</f>
        <v/>
      </c>
      <c r="G24" s="68">
        <f>IFERROR('Raw OI Data'!H22/'Raw OI Data'!G22,0)</f>
        <v/>
      </c>
      <c r="H24" s="68">
        <f>G24</f>
        <v/>
      </c>
      <c r="I24" s="65" t="inlineStr"/>
    </row>
    <row r="25" ht="14" customHeight="1">
      <c r="A25" s="15" t="inlineStr"/>
      <c r="B25" s="25" t="inlineStr">
        <is>
          <t>Total L/S Ratio</t>
        </is>
      </c>
      <c r="C25" s="69">
        <f>IFERROR('Raw OI Data'!O6/'Raw OI Data'!P6,0)</f>
        <v/>
      </c>
      <c r="D25" s="69">
        <f>IFERROR('Raw OI Data'!O10/'Raw OI Data'!P10,0)</f>
        <v/>
      </c>
      <c r="E25" s="69">
        <f>IFERROR('Raw OI Data'!O14/'Raw OI Data'!P14,0)</f>
        <v/>
      </c>
      <c r="F25" s="69">
        <f>IFERROR('Raw OI Data'!O18/'Raw OI Data'!P18,0)</f>
        <v/>
      </c>
      <c r="G25" s="69">
        <f>IFERROR('Raw OI Data'!O22/'Raw OI Data'!P22,0)</f>
        <v/>
      </c>
      <c r="H25" s="69">
        <f>G25</f>
        <v/>
      </c>
      <c r="I25" s="67" t="inlineStr"/>
    </row>
    <row r="26" ht="14" customHeight="1">
      <c r="A26" s="17" t="inlineStr"/>
      <c r="B26" s="50" t="inlineStr">
        <is>
          <t>Composite Signal</t>
        </is>
      </c>
      <c r="C26" s="70">
        <f>IF(AND(('Raw OI Data'!C6-'Raw OI Data'!D6)&gt;0,IFERROR('Raw OI Data'!H6/'Raw OI Data'!G6,1)&lt;1,IFERROR('Raw OI Data'!O6/'Raw OI Data'!P6,1)&gt;1),"🟢 Bullish",IF(AND(('Raw OI Data'!C6-'Raw OI Data'!D6)&lt;0,IFERROR('Raw OI Data'!H6/'Raw OI Data'!G6,1)&gt;1.5,IFERROR('Raw OI Data'!O6/'Raw OI Data'!P6,1)&lt;1),"🔴 Bearish",IF(AND(('Raw OI Data'!C6-'Raw OI Data'!D6)&lt;0,IFERROR('Raw OI Data'!H6/'Raw OI Data'!G6,1)&gt;1.2),"🟠 Cautious",IF(AND(('Raw OI Data'!C6-'Raw OI Data'!D6)&gt;0,IFERROR('Raw OI Data'!H6/'Raw OI Data'!G6,1)&lt;0.8),"🟢 Bullish","🟡 Neutral"))))</f>
        <v/>
      </c>
      <c r="D26" s="70">
        <f>IF(AND(('Raw OI Data'!C10-'Raw OI Data'!D10)&gt;0,IFERROR('Raw OI Data'!H10/'Raw OI Data'!G10,1)&lt;1,IFERROR('Raw OI Data'!O10/'Raw OI Data'!P10,1)&gt;1),"🟢 Bullish",IF(AND(('Raw OI Data'!C10-'Raw OI Data'!D10)&lt;0,IFERROR('Raw OI Data'!H10/'Raw OI Data'!G10,1)&gt;1.5,IFERROR('Raw OI Data'!O10/'Raw OI Data'!P10,1)&lt;1),"🔴 Bearish",IF(AND(('Raw OI Data'!C10-'Raw OI Data'!D10)&lt;0,IFERROR('Raw OI Data'!H10/'Raw OI Data'!G10,1)&gt;1.2),"🟠 Cautious",IF(AND(('Raw OI Data'!C10-'Raw OI Data'!D10)&gt;0,IFERROR('Raw OI Data'!H10/'Raw OI Data'!G10,1)&lt;0.8),"🟢 Bullish","🟡 Neutral"))))</f>
        <v/>
      </c>
      <c r="E26" s="70">
        <f>IF(AND(('Raw OI Data'!C14-'Raw OI Data'!D14)&gt;0,IFERROR('Raw OI Data'!H14/'Raw OI Data'!G14,1)&lt;1,IFERROR('Raw OI Data'!O14/'Raw OI Data'!P14,1)&gt;1),"🟢 Bullish",IF(AND(('Raw OI Data'!C14-'Raw OI Data'!D14)&lt;0,IFERROR('Raw OI Data'!H14/'Raw OI Data'!G14,1)&gt;1.5,IFERROR('Raw OI Data'!O14/'Raw OI Data'!P14,1)&lt;1),"🔴 Bearish",IF(AND(('Raw OI Data'!C14-'Raw OI Data'!D14)&lt;0,IFERROR('Raw OI Data'!H14/'Raw OI Data'!G14,1)&gt;1.2),"🟠 Cautious",IF(AND(('Raw OI Data'!C14-'Raw OI Data'!D14)&gt;0,IFERROR('Raw OI Data'!H14/'Raw OI Data'!G14,1)&lt;0.8),"🟢 Bullish","🟡 Neutral"))))</f>
        <v/>
      </c>
      <c r="F26" s="70">
        <f>IF(AND(('Raw OI Data'!C18-'Raw OI Data'!D18)&gt;0,IFERROR('Raw OI Data'!H18/'Raw OI Data'!G18,1)&lt;1,IFERROR('Raw OI Data'!O18/'Raw OI Data'!P18,1)&gt;1),"🟢 Bullish",IF(AND(('Raw OI Data'!C18-'Raw OI Data'!D18)&lt;0,IFERROR('Raw OI Data'!H18/'Raw OI Data'!G18,1)&gt;1.5,IFERROR('Raw OI Data'!O18/'Raw OI Data'!P18,1)&lt;1),"🔴 Bearish",IF(AND(('Raw OI Data'!C18-'Raw OI Data'!D18)&lt;0,IFERROR('Raw OI Data'!H18/'Raw OI Data'!G18,1)&gt;1.2),"🟠 Cautious",IF(AND(('Raw OI Data'!C18-'Raw OI Data'!D18)&gt;0,IFERROR('Raw OI Data'!H18/'Raw OI Data'!G18,1)&lt;0.8),"🟢 Bullish","🟡 Neutral"))))</f>
        <v/>
      </c>
      <c r="G26" s="70">
        <f>IF(AND(('Raw OI Data'!C22-'Raw OI Data'!D22)&gt;0,IFERROR('Raw OI Data'!H22/'Raw OI Data'!G22,1)&lt;1,IFERROR('Raw OI Data'!O22/'Raw OI Data'!P22,1)&gt;1),"🟢 Bullish",IF(AND(('Raw OI Data'!C22-'Raw OI Data'!D22)&lt;0,IFERROR('Raw OI Data'!H22/'Raw OI Data'!G22,1)&gt;1.5,IFERROR('Raw OI Data'!O22/'Raw OI Data'!P22,1)&lt;1),"🔴 Bearish",IF(AND(('Raw OI Data'!C22-'Raw OI Data'!D22)&lt;0,IFERROR('Raw OI Data'!H22/'Raw OI Data'!G22,1)&gt;1.2),"🟠 Cautious",IF(AND(('Raw OI Data'!C22-'Raw OI Data'!D22)&gt;0,IFERROR('Raw OI Data'!H22/'Raw OI Data'!G22,1)&lt;0.8),"🟢 Bullish","🟡 Neutral"))))</f>
        <v/>
      </c>
      <c r="H26" s="71">
        <f>G26</f>
        <v/>
      </c>
      <c r="I26" s="65" t="inlineStr">
        <is>
          <t>Proprietary desks — fast money; mean-reverting</t>
        </is>
      </c>
    </row>
    <row r="27" ht="16" customHeight="1">
      <c r="A27" s="14" t="inlineStr">
        <is>
          <t>CHAIN-LEVEL SIGNALS  (Market-wide, all participants)</t>
        </is>
      </c>
    </row>
    <row r="28" ht="14" customHeight="1">
      <c r="A28" s="17" t="inlineStr"/>
      <c r="B28" s="25" t="inlineStr">
        <is>
          <t>Max Pain Strike</t>
        </is>
      </c>
      <c r="C28" s="72" t="n"/>
      <c r="D28" s="72" t="n"/>
      <c r="E28" s="72" t="n"/>
      <c r="F28" s="72" t="n"/>
      <c r="G28" s="72" t="n">
        <v>24200</v>
      </c>
      <c r="H28" s="72" t="n">
        <v>24200</v>
      </c>
      <c r="I28" s="17" t="n"/>
    </row>
    <row r="29" ht="14" customHeight="1">
      <c r="A29" s="15" t="inlineStr"/>
      <c r="B29" s="25" t="inlineStr">
        <is>
          <t>ATM Strike</t>
        </is>
      </c>
      <c r="C29" s="73" t="n"/>
      <c r="D29" s="73" t="n"/>
      <c r="E29" s="73" t="n"/>
      <c r="F29" s="73" t="n"/>
      <c r="G29" s="73" t="n">
        <v>24000</v>
      </c>
      <c r="H29" s="73" t="n">
        <v>24000</v>
      </c>
      <c r="I29" s="15" t="n"/>
    </row>
    <row r="30" ht="14" customHeight="1">
      <c r="A30" s="17" t="inlineStr"/>
      <c r="B30" s="25" t="inlineStr">
        <is>
          <t>Aggregate OI PCR</t>
        </is>
      </c>
      <c r="C30" s="74" t="n"/>
      <c r="D30" s="74" t="n"/>
      <c r="E30" s="74" t="n"/>
      <c r="F30" s="74" t="n"/>
      <c r="G30" s="74" t="n">
        <v>0.9965000000000001</v>
      </c>
      <c r="H30" s="74" t="n">
        <v>0.9965000000000001</v>
      </c>
      <c r="I30" s="17" t="n"/>
    </row>
    <row r="31" ht="14" customHeight="1">
      <c r="A31" s="15" t="inlineStr"/>
      <c r="B31" s="25" t="inlineStr">
        <is>
          <t>Aggregate Volume PCR</t>
        </is>
      </c>
      <c r="C31" s="75" t="n"/>
      <c r="D31" s="75" t="n"/>
      <c r="E31" s="75" t="n"/>
      <c r="F31" s="75" t="n"/>
      <c r="G31" s="75" t="n">
        <v>1.0489</v>
      </c>
      <c r="H31" s="75" t="n">
        <v>1.0489</v>
      </c>
      <c r="I31" s="15" t="n"/>
    </row>
  </sheetData>
  <mergeCells count="6">
    <mergeCell ref="A3:K3"/>
    <mergeCell ref="A21:K21"/>
    <mergeCell ref="A15:K15"/>
    <mergeCell ref="A1:K1"/>
    <mergeCell ref="A9:K9"/>
    <mergeCell ref="A27:K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2026-07-06T00:50:55Z</dcterms:created>
  <dcterms:modified xsi:type="dcterms:W3CDTF">2026-07-06T00:50:56Z</dcterms:modified>
</cp:coreProperties>
</file>