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OI Data" sheetId="1" state="visible" r:id="rId1"/>
    <sheet name="Raw TV Data" sheetId="2" state="visible" r:id="rId2"/>
    <sheet name="Raw Chain Data" sheetId="3" state="visible" r:id="rId3"/>
    <sheet name="OI Dashboard" sheetId="4" state="visible" r:id="rId4"/>
    <sheet name="TV Dashboard" sheetId="5" state="visible" r:id="rId5"/>
    <sheet name="Net OI &amp; Bias" sheetId="6" state="visible" r:id="rId6"/>
    <sheet name="PCR Analysis" sheetId="7" state="visible" r:id="rId7"/>
    <sheet name="OI-TV Efficiency" sheetId="8" state="visible" r:id="rId8"/>
    <sheet name="Day-on-Day Changes" sheetId="9" state="visible" r:id="rId9"/>
    <sheet name="Option Chain View" sheetId="10" state="visible" r:id="rId10"/>
    <sheet name="Max Pain" sheetId="11" state="visible" r:id="rId11"/>
    <sheet name="OI Walls &amp; Support" sheetId="12" state="visible" r:id="rId12"/>
    <sheet name="IV Skew" sheetId="13" state="visible" r:id="rId13"/>
    <sheet name="Sentiment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-"/>
    <numFmt numFmtId="165" formatCode="0.00x"/>
    <numFmt numFmtId="166" formatCode="0.0%"/>
    <numFmt numFmtId="167" formatCode="0.000"/>
    <numFmt numFmtId="168" formatCode="0.00;[Red]-0.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E40AF"/>
      <sz val="10"/>
    </font>
    <font>
      <name val="Arial"/>
      <b val="1"/>
      <color rgb="0092400E"/>
      <sz val="10"/>
    </font>
    <font>
      <name val="Arial"/>
      <b val="1"/>
      <color rgb="00F9FAFB"/>
      <sz val="10"/>
    </font>
    <font>
      <name val="Arial"/>
      <color rgb="001F2937"/>
      <sz val="10"/>
    </font>
    <font>
      <name val="Arial"/>
      <b val="1"/>
      <color rgb="005B21B6"/>
      <sz val="10"/>
    </font>
    <font>
      <name val="Arial"/>
      <color rgb="005B21B6"/>
      <sz val="10"/>
    </font>
    <font>
      <name val="Arial"/>
      <b val="1"/>
      <color rgb="00000000"/>
      <sz val="10"/>
    </font>
    <font>
      <name val="Arial"/>
      <b val="1"/>
      <color rgb="001F2937"/>
      <sz val="10"/>
    </font>
    <font>
      <name val="Arial"/>
      <color rgb="00991B1B"/>
      <sz val="10"/>
    </font>
    <font>
      <name val="Arial"/>
      <color rgb="00166534"/>
      <sz val="10"/>
    </font>
    <font>
      <name val="Arial"/>
      <i val="1"/>
      <color rgb="006B7280"/>
      <sz val="10"/>
    </font>
  </fonts>
  <fills count="1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4B5563"/>
        <bgColor rgb="004B5563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FF7ED"/>
        <bgColor rgb="00FFF7ED"/>
      </patternFill>
    </fill>
    <fill>
      <patternFill patternType="solid">
        <fgColor rgb="00374151"/>
        <bgColor rgb="00374151"/>
      </patternFill>
    </fill>
    <fill>
      <patternFill patternType="solid">
        <fgColor rgb="00E5E7EB"/>
        <bgColor rgb="00E5E7EB"/>
      </patternFill>
    </fill>
    <fill>
      <patternFill patternType="solid">
        <fgColor rgb="00DBEAFE"/>
        <bgColor rgb="00DBEAFE"/>
      </patternFill>
    </fill>
    <fill>
      <patternFill patternType="solid">
        <fgColor rgb="00EDE9FE"/>
        <bgColor rgb="00EDE9FE"/>
      </patternFill>
    </fill>
    <fill>
      <patternFill patternType="solid">
        <fgColor rgb="00FEF9C3"/>
        <bgColor rgb="00FEF9C3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0" pivotButton="0" quotePrefix="0" xfId="0"/>
    <xf numFmtId="0" fontId="3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0" fillId="8" borderId="0" pivotButton="0" quotePrefix="0" xfId="0"/>
    <xf numFmtId="0" fontId="7" fillId="9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5" borderId="0" pivotButton="0" quotePrefix="0" xfId="0"/>
    <xf numFmtId="164" fontId="3" fillId="4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7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2" fontId="3" fillId="6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2" fontId="3" fillId="7" borderId="1" applyAlignment="1" pivotButton="0" quotePrefix="0" xfId="0">
      <alignment horizontal="right" vertical="center"/>
    </xf>
    <xf numFmtId="2" fontId="9" fillId="11" borderId="1" applyAlignment="1" pivotButton="0" quotePrefix="0" xfId="0">
      <alignment horizontal="right" vertical="center"/>
    </xf>
    <xf numFmtId="3" fontId="10" fillId="12" borderId="1" applyAlignment="1" pivotButton="0" quotePrefix="0" xfId="0">
      <alignment horizontal="right" vertical="center"/>
    </xf>
    <xf numFmtId="3" fontId="3" fillId="12" borderId="1" applyAlignment="1" pivotButton="0" quotePrefix="0" xfId="0">
      <alignment horizontal="right" vertical="center"/>
    </xf>
    <xf numFmtId="2" fontId="3" fillId="12" borderId="1" applyAlignment="1" pivotButton="0" quotePrefix="0" xfId="0">
      <alignment horizontal="right" vertical="center"/>
    </xf>
    <xf numFmtId="2" fontId="9" fillId="12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3" fontId="5" fillId="13" borderId="1" applyAlignment="1" pivotButton="0" quotePrefix="0" xfId="0">
      <alignment horizontal="right" vertical="center"/>
    </xf>
    <xf numFmtId="167" fontId="3" fillId="4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4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 wrapText="1"/>
    </xf>
    <xf numFmtId="0" fontId="0" fillId="3" borderId="0" pivotButton="0" quotePrefix="0" xfId="0"/>
    <xf numFmtId="168" fontId="9" fillId="11" borderId="1" applyAlignment="1" pivotButton="0" quotePrefix="0" xfId="0">
      <alignment horizontal="right" vertical="center"/>
    </xf>
    <xf numFmtId="168" fontId="12" fillId="14" borderId="1" applyAlignment="1" pivotButton="0" quotePrefix="0" xfId="0">
      <alignment horizontal="right" vertical="center"/>
    </xf>
    <xf numFmtId="168" fontId="13" fillId="15" borderId="1" applyAlignment="1" pivotButton="0" quotePrefix="0" xfId="0">
      <alignment horizontal="right" vertical="center"/>
    </xf>
    <xf numFmtId="0" fontId="0" fillId="12" borderId="0" pivotButton="0" quotePrefix="0" xfId="0"/>
    <xf numFmtId="0" fontId="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3" fontId="5" fillId="13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167" fontId="3" fillId="4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OI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Jun 30 2026</t>
        </is>
      </c>
      <c r="B3" s="3" t="inlineStr">
        <is>
          <t>Client</t>
        </is>
      </c>
      <c r="C3" s="4" t="n">
        <v>247940</v>
      </c>
      <c r="D3" s="4" t="n">
        <v>61833</v>
      </c>
      <c r="E3" s="4" t="n">
        <v>3159794</v>
      </c>
      <c r="F3" s="4" t="n">
        <v>185689</v>
      </c>
      <c r="G3" s="4" t="n">
        <v>1786336</v>
      </c>
      <c r="H3" s="4" t="n">
        <v>1224600</v>
      </c>
      <c r="I3" s="4" t="n">
        <v>1594036</v>
      </c>
      <c r="J3" s="4" t="n">
        <v>1941469</v>
      </c>
      <c r="K3" s="4" t="n">
        <v>1105057</v>
      </c>
      <c r="L3" s="4" t="n">
        <v>411416</v>
      </c>
      <c r="M3" s="4" t="n">
        <v>642125</v>
      </c>
      <c r="N3" s="4" t="n">
        <v>651636</v>
      </c>
      <c r="O3" s="4" t="n">
        <v>7935143</v>
      </c>
      <c r="P3" s="4" t="n">
        <v>5076787</v>
      </c>
    </row>
    <row r="4" ht="14" customHeight="1">
      <c r="A4" s="5" t="inlineStr">
        <is>
          <t>Jun 30 2026</t>
        </is>
      </c>
      <c r="B4" s="5" t="inlineStr">
        <is>
          <t>DII</t>
        </is>
      </c>
      <c r="C4" s="6" t="n">
        <v>72667</v>
      </c>
      <c r="D4" s="6" t="n">
        <v>11786</v>
      </c>
      <c r="E4" s="6" t="n">
        <v>246518</v>
      </c>
      <c r="F4" s="6" t="n">
        <v>4278999</v>
      </c>
      <c r="G4" s="6" t="n">
        <v>3350</v>
      </c>
      <c r="H4" s="6" t="n">
        <v>23205</v>
      </c>
      <c r="I4" s="6" t="n">
        <v>0</v>
      </c>
      <c r="J4" s="6" t="n">
        <v>179</v>
      </c>
      <c r="K4" s="6" t="n">
        <v>51</v>
      </c>
      <c r="L4" s="6" t="n">
        <v>32387</v>
      </c>
      <c r="M4" s="6" t="n">
        <v>70400</v>
      </c>
      <c r="N4" s="6" t="n">
        <v>2499</v>
      </c>
      <c r="O4" s="6" t="n">
        <v>378178</v>
      </c>
      <c r="P4" s="6" t="n">
        <v>4363863</v>
      </c>
    </row>
    <row r="5" ht="14" customHeight="1">
      <c r="A5" s="3" t="inlineStr">
        <is>
          <t>Jun 30 2026</t>
        </is>
      </c>
      <c r="B5" s="3" t="inlineStr">
        <is>
          <t>FII</t>
        </is>
      </c>
      <c r="C5" s="4" t="n">
        <v>33502</v>
      </c>
      <c r="D5" s="4" t="n">
        <v>289912</v>
      </c>
      <c r="E5" s="4" t="n">
        <v>3743679</v>
      </c>
      <c r="F5" s="4" t="n">
        <v>3233585</v>
      </c>
      <c r="G5" s="4" t="n">
        <v>330405</v>
      </c>
      <c r="H5" s="4" t="n">
        <v>750617</v>
      </c>
      <c r="I5" s="4" t="n">
        <v>563503</v>
      </c>
      <c r="J5" s="4" t="n">
        <v>218081</v>
      </c>
      <c r="K5" s="4" t="n">
        <v>60661</v>
      </c>
      <c r="L5" s="4" t="n">
        <v>105861</v>
      </c>
      <c r="M5" s="4" t="n">
        <v>109986</v>
      </c>
      <c r="N5" s="4" t="n">
        <v>66164</v>
      </c>
      <c r="O5" s="4" t="n">
        <v>5024724</v>
      </c>
      <c r="P5" s="4" t="n">
        <v>4481231</v>
      </c>
    </row>
    <row r="6" ht="14" customHeight="1">
      <c r="A6" s="5" t="inlineStr">
        <is>
          <t>Jun 30 2026</t>
        </is>
      </c>
      <c r="B6" s="5" t="inlineStr">
        <is>
          <t>Pro</t>
        </is>
      </c>
      <c r="C6" s="6" t="n">
        <v>39762</v>
      </c>
      <c r="D6" s="6" t="n">
        <v>30340</v>
      </c>
      <c r="E6" s="6" t="n">
        <v>854102</v>
      </c>
      <c r="F6" s="6" t="n">
        <v>305820</v>
      </c>
      <c r="G6" s="6" t="n">
        <v>575773</v>
      </c>
      <c r="H6" s="6" t="n">
        <v>700644</v>
      </c>
      <c r="I6" s="6" t="n">
        <v>538325</v>
      </c>
      <c r="J6" s="6" t="n">
        <v>539336</v>
      </c>
      <c r="K6" s="6" t="n">
        <v>445389</v>
      </c>
      <c r="L6" s="6" t="n">
        <v>612221</v>
      </c>
      <c r="M6" s="6" t="n">
        <v>788647</v>
      </c>
      <c r="N6" s="6" t="n">
        <v>441586</v>
      </c>
      <c r="O6" s="6" t="n">
        <v>3227890</v>
      </c>
      <c r="P6" s="6" t="n">
        <v>2644054</v>
      </c>
    </row>
    <row r="7" ht="14" customHeight="1">
      <c r="A7" s="3" t="inlineStr">
        <is>
          <t>Jul 01 2026</t>
        </is>
      </c>
      <c r="B7" s="3" t="inlineStr">
        <is>
          <t>Client</t>
        </is>
      </c>
      <c r="C7" s="4" t="n">
        <v>251066</v>
      </c>
      <c r="D7" s="4" t="n">
        <v>63543</v>
      </c>
      <c r="E7" s="4" t="n">
        <v>3194768</v>
      </c>
      <c r="F7" s="4" t="n">
        <v>198901</v>
      </c>
      <c r="G7" s="4" t="n">
        <v>2163161</v>
      </c>
      <c r="H7" s="4" t="n">
        <v>1888743</v>
      </c>
      <c r="I7" s="4" t="n">
        <v>2028147</v>
      </c>
      <c r="J7" s="4" t="n">
        <v>2586510</v>
      </c>
      <c r="K7" s="4" t="n">
        <v>1345153</v>
      </c>
      <c r="L7" s="4" t="n">
        <v>502739</v>
      </c>
      <c r="M7" s="4" t="n">
        <v>783794</v>
      </c>
      <c r="N7" s="4" t="n">
        <v>753173</v>
      </c>
      <c r="O7" s="4" t="n">
        <v>9345630</v>
      </c>
      <c r="P7" s="4" t="n">
        <v>6414068</v>
      </c>
    </row>
    <row r="8" ht="14" customHeight="1">
      <c r="A8" s="5" t="inlineStr">
        <is>
          <t>Jul 01 2026</t>
        </is>
      </c>
      <c r="B8" s="5" t="inlineStr">
        <is>
          <t>DII</t>
        </is>
      </c>
      <c r="C8" s="6" t="n">
        <v>72675</v>
      </c>
      <c r="D8" s="6" t="n">
        <v>11786</v>
      </c>
      <c r="E8" s="6" t="n">
        <v>253022</v>
      </c>
      <c r="F8" s="6" t="n">
        <v>4287615</v>
      </c>
      <c r="G8" s="6" t="n">
        <v>3485</v>
      </c>
      <c r="H8" s="6" t="n">
        <v>25675</v>
      </c>
      <c r="I8" s="6" t="n">
        <v>0</v>
      </c>
      <c r="J8" s="6" t="n">
        <v>179</v>
      </c>
      <c r="K8" s="6" t="n">
        <v>125</v>
      </c>
      <c r="L8" s="6" t="n">
        <v>33238</v>
      </c>
      <c r="M8" s="6" t="n">
        <v>134092</v>
      </c>
      <c r="N8" s="6" t="n">
        <v>2939</v>
      </c>
      <c r="O8" s="6" t="n">
        <v>388220</v>
      </c>
      <c r="P8" s="6" t="n">
        <v>4436611</v>
      </c>
    </row>
    <row r="9" ht="14" customHeight="1">
      <c r="A9" s="3" t="inlineStr">
        <is>
          <t>Jul 01 2026</t>
        </is>
      </c>
      <c r="B9" s="3" t="inlineStr">
        <is>
          <t>FII</t>
        </is>
      </c>
      <c r="C9" s="4" t="n">
        <v>32476</v>
      </c>
      <c r="D9" s="4" t="n">
        <v>292535</v>
      </c>
      <c r="E9" s="4" t="n">
        <v>3771958</v>
      </c>
      <c r="F9" s="4" t="n">
        <v>3275109</v>
      </c>
      <c r="G9" s="4" t="n">
        <v>424988</v>
      </c>
      <c r="H9" s="4" t="n">
        <v>881237</v>
      </c>
      <c r="I9" s="4" t="n">
        <v>674108</v>
      </c>
      <c r="J9" s="4" t="n">
        <v>375453</v>
      </c>
      <c r="K9" s="4" t="n">
        <v>89291</v>
      </c>
      <c r="L9" s="4" t="n">
        <v>142092</v>
      </c>
      <c r="M9" s="4" t="n">
        <v>154834</v>
      </c>
      <c r="N9" s="4" t="n">
        <v>98102</v>
      </c>
      <c r="O9" s="4" t="n">
        <v>5342042</v>
      </c>
      <c r="P9" s="4" t="n">
        <v>4870141</v>
      </c>
    </row>
    <row r="10" ht="14" customHeight="1">
      <c r="A10" s="5" t="inlineStr">
        <is>
          <t>Jul 01 2026</t>
        </is>
      </c>
      <c r="B10" s="5" t="inlineStr">
        <is>
          <t>Pro</t>
        </is>
      </c>
      <c r="C10" s="6" t="n">
        <v>40082</v>
      </c>
      <c r="D10" s="6" t="n">
        <v>28435</v>
      </c>
      <c r="E10" s="6" t="n">
        <v>869585</v>
      </c>
      <c r="F10" s="6" t="n">
        <v>327708</v>
      </c>
      <c r="G10" s="6" t="n">
        <v>736795</v>
      </c>
      <c r="H10" s="6" t="n">
        <v>907476</v>
      </c>
      <c r="I10" s="6" t="n">
        <v>626175</v>
      </c>
      <c r="J10" s="6" t="n">
        <v>740987</v>
      </c>
      <c r="K10" s="6" t="n">
        <v>595463</v>
      </c>
      <c r="L10" s="6" t="n">
        <v>727741</v>
      </c>
      <c r="M10" s="6" t="n">
        <v>957312</v>
      </c>
      <c r="N10" s="6" t="n">
        <v>551596</v>
      </c>
      <c r="O10" s="6" t="n">
        <v>3877142</v>
      </c>
      <c r="P10" s="6" t="n">
        <v>3232213</v>
      </c>
    </row>
    <row r="11" ht="14" customHeight="1">
      <c r="A11" s="3" t="inlineStr">
        <is>
          <t>Jul 02 2026</t>
        </is>
      </c>
      <c r="B11" s="3" t="inlineStr">
        <is>
          <t>Client</t>
        </is>
      </c>
      <c r="C11" s="4" t="n">
        <v>243441</v>
      </c>
      <c r="D11" s="4" t="n">
        <v>65455</v>
      </c>
      <c r="E11" s="4" t="n">
        <v>3188761</v>
      </c>
      <c r="F11" s="4" t="n">
        <v>209794</v>
      </c>
      <c r="G11" s="4" t="n">
        <v>2268313</v>
      </c>
      <c r="H11" s="4" t="n">
        <v>2447661</v>
      </c>
      <c r="I11" s="4" t="n">
        <v>2209220</v>
      </c>
      <c r="J11" s="4" t="n">
        <v>3024894</v>
      </c>
      <c r="K11" s="4" t="n">
        <v>1398494</v>
      </c>
      <c r="L11" s="4" t="n">
        <v>552702</v>
      </c>
      <c r="M11" s="4" t="n">
        <v>879183</v>
      </c>
      <c r="N11" s="4" t="n">
        <v>798193</v>
      </c>
      <c r="O11" s="4" t="n">
        <v>10099372</v>
      </c>
      <c r="P11" s="4" t="n">
        <v>7186739</v>
      </c>
    </row>
    <row r="12" ht="14" customHeight="1">
      <c r="A12" s="5" t="inlineStr">
        <is>
          <t>Jul 02 2026</t>
        </is>
      </c>
      <c r="B12" s="5" t="inlineStr">
        <is>
          <t>DII</t>
        </is>
      </c>
      <c r="C12" s="6" t="n">
        <v>76185</v>
      </c>
      <c r="D12" s="6" t="n">
        <v>11589</v>
      </c>
      <c r="E12" s="6" t="n">
        <v>260380</v>
      </c>
      <c r="F12" s="6" t="n">
        <v>4299854</v>
      </c>
      <c r="G12" s="6" t="n">
        <v>3460</v>
      </c>
      <c r="H12" s="6" t="n">
        <v>25675</v>
      </c>
      <c r="I12" s="6" t="n">
        <v>40</v>
      </c>
      <c r="J12" s="6" t="n">
        <v>1019</v>
      </c>
      <c r="K12" s="6" t="n">
        <v>91</v>
      </c>
      <c r="L12" s="6" t="n">
        <v>34259</v>
      </c>
      <c r="M12" s="6" t="n">
        <v>160828</v>
      </c>
      <c r="N12" s="6" t="n">
        <v>4275</v>
      </c>
      <c r="O12" s="6" t="n">
        <v>400050</v>
      </c>
      <c r="P12" s="6" t="n">
        <v>4477605</v>
      </c>
    </row>
    <row r="13" ht="14" customHeight="1">
      <c r="A13" s="3" t="inlineStr">
        <is>
          <t>Jul 02 2026</t>
        </is>
      </c>
      <c r="B13" s="3" t="inlineStr">
        <is>
          <t>FII</t>
        </is>
      </c>
      <c r="C13" s="4" t="n">
        <v>29443</v>
      </c>
      <c r="D13" s="4" t="n">
        <v>286343</v>
      </c>
      <c r="E13" s="4" t="n">
        <v>3804985</v>
      </c>
      <c r="F13" s="4" t="n">
        <v>3270416</v>
      </c>
      <c r="G13" s="4" t="n">
        <v>439185</v>
      </c>
      <c r="H13" s="4" t="n">
        <v>859057</v>
      </c>
      <c r="I13" s="4" t="n">
        <v>664085</v>
      </c>
      <c r="J13" s="4" t="n">
        <v>417015</v>
      </c>
      <c r="K13" s="4" t="n">
        <v>120063</v>
      </c>
      <c r="L13" s="4" t="n">
        <v>171871</v>
      </c>
      <c r="M13" s="4" t="n">
        <v>184025</v>
      </c>
      <c r="N13" s="4" t="n">
        <v>118217</v>
      </c>
      <c r="O13" s="4" t="n">
        <v>5424604</v>
      </c>
      <c r="P13" s="4" t="n">
        <v>4940101</v>
      </c>
    </row>
    <row r="14" ht="14" customHeight="1">
      <c r="A14" s="5" t="inlineStr">
        <is>
          <t>Jul 02 2026</t>
        </is>
      </c>
      <c r="B14" s="5" t="inlineStr">
        <is>
          <t>Pro</t>
        </is>
      </c>
      <c r="C14" s="6" t="n">
        <v>40808</v>
      </c>
      <c r="D14" s="6" t="n">
        <v>26490</v>
      </c>
      <c r="E14" s="6" t="n">
        <v>865927</v>
      </c>
      <c r="F14" s="6" t="n">
        <v>339989</v>
      </c>
      <c r="G14" s="6" t="n">
        <v>772614</v>
      </c>
      <c r="H14" s="6" t="n">
        <v>974285</v>
      </c>
      <c r="I14" s="6" t="n">
        <v>610227</v>
      </c>
      <c r="J14" s="6" t="n">
        <v>863750</v>
      </c>
      <c r="K14" s="6" t="n">
        <v>703710</v>
      </c>
      <c r="L14" s="6" t="n">
        <v>771167</v>
      </c>
      <c r="M14" s="6" t="n">
        <v>998322</v>
      </c>
      <c r="N14" s="6" t="n">
        <v>609314</v>
      </c>
      <c r="O14" s="6" t="n">
        <v>4128511</v>
      </c>
      <c r="P14" s="6" t="n">
        <v>3448093</v>
      </c>
    </row>
    <row r="15" ht="14" customHeight="1">
      <c r="A15" s="3" t="inlineStr">
        <is>
          <t>Jul 03 2026</t>
        </is>
      </c>
      <c r="B15" s="3" t="inlineStr">
        <is>
          <t>Client</t>
        </is>
      </c>
      <c r="C15" s="4" t="n">
        <v>239868</v>
      </c>
      <c r="D15" s="4" t="n">
        <v>67171</v>
      </c>
      <c r="E15" s="4" t="n">
        <v>3193072</v>
      </c>
      <c r="F15" s="4" t="n">
        <v>215579</v>
      </c>
      <c r="G15" s="4" t="n">
        <v>3096998</v>
      </c>
      <c r="H15" s="4" t="n">
        <v>2747363</v>
      </c>
      <c r="I15" s="4" t="n">
        <v>3007973</v>
      </c>
      <c r="J15" s="4" t="n">
        <v>3360184</v>
      </c>
      <c r="K15" s="4" t="n">
        <v>1543742</v>
      </c>
      <c r="L15" s="4" t="n">
        <v>596642</v>
      </c>
      <c r="M15" s="4" t="n">
        <v>970696</v>
      </c>
      <c r="N15" s="4" t="n">
        <v>863839</v>
      </c>
      <c r="O15" s="4" t="n">
        <v>11417685</v>
      </c>
      <c r="P15" s="4" t="n">
        <v>8485442</v>
      </c>
    </row>
    <row r="16" ht="14" customHeight="1">
      <c r="A16" s="5" t="inlineStr">
        <is>
          <t>Jul 03 2026</t>
        </is>
      </c>
      <c r="B16" s="5" t="inlineStr">
        <is>
          <t>DII</t>
        </is>
      </c>
      <c r="C16" s="6" t="n">
        <v>76163</v>
      </c>
      <c r="D16" s="6" t="n">
        <v>11589</v>
      </c>
      <c r="E16" s="6" t="n">
        <v>273405</v>
      </c>
      <c r="F16" s="6" t="n">
        <v>4308220</v>
      </c>
      <c r="G16" s="6" t="n">
        <v>4090</v>
      </c>
      <c r="H16" s="6" t="n">
        <v>26055</v>
      </c>
      <c r="I16" s="6" t="n">
        <v>835</v>
      </c>
      <c r="J16" s="6" t="n">
        <v>1014</v>
      </c>
      <c r="K16" s="6" t="n">
        <v>329</v>
      </c>
      <c r="L16" s="6" t="n">
        <v>34684</v>
      </c>
      <c r="M16" s="6" t="n">
        <v>201545</v>
      </c>
      <c r="N16" s="6" t="n">
        <v>6163</v>
      </c>
      <c r="O16" s="6" t="n">
        <v>414726</v>
      </c>
      <c r="P16" s="6" t="n">
        <v>4529366</v>
      </c>
    </row>
    <row r="17" ht="14" customHeight="1">
      <c r="A17" s="3" t="inlineStr">
        <is>
          <t>Jul 03 2026</t>
        </is>
      </c>
      <c r="B17" s="3" t="inlineStr">
        <is>
          <t>FII</t>
        </is>
      </c>
      <c r="C17" s="4" t="n">
        <v>29772</v>
      </c>
      <c r="D17" s="4" t="n">
        <v>280539</v>
      </c>
      <c r="E17" s="4" t="n">
        <v>3835098</v>
      </c>
      <c r="F17" s="4" t="n">
        <v>3287749</v>
      </c>
      <c r="G17" s="4" t="n">
        <v>479396</v>
      </c>
      <c r="H17" s="4" t="n">
        <v>921556</v>
      </c>
      <c r="I17" s="4" t="n">
        <v>712869</v>
      </c>
      <c r="J17" s="4" t="n">
        <v>444381</v>
      </c>
      <c r="K17" s="4" t="n">
        <v>138001</v>
      </c>
      <c r="L17" s="4" t="n">
        <v>199213</v>
      </c>
      <c r="M17" s="4" t="n">
        <v>218447</v>
      </c>
      <c r="N17" s="4" t="n">
        <v>134068</v>
      </c>
      <c r="O17" s="4" t="n">
        <v>5603036</v>
      </c>
      <c r="P17" s="4" t="n">
        <v>5078053</v>
      </c>
    </row>
    <row r="18" ht="14" customHeight="1">
      <c r="A18" s="5" t="inlineStr">
        <is>
          <t>Jul 03 2026</t>
        </is>
      </c>
      <c r="B18" s="5" t="inlineStr">
        <is>
          <t>Pro</t>
        </is>
      </c>
      <c r="C18" s="6" t="n">
        <v>44875</v>
      </c>
      <c r="D18" s="6" t="n">
        <v>31379</v>
      </c>
      <c r="E18" s="6" t="n">
        <v>866163</v>
      </c>
      <c r="F18" s="6" t="n">
        <v>356190</v>
      </c>
      <c r="G18" s="6" t="n">
        <v>929076</v>
      </c>
      <c r="H18" s="6" t="n">
        <v>1027040</v>
      </c>
      <c r="I18" s="6" t="n">
        <v>787884</v>
      </c>
      <c r="J18" s="6" t="n">
        <v>916435</v>
      </c>
      <c r="K18" s="6" t="n">
        <v>801053</v>
      </c>
      <c r="L18" s="6" t="n">
        <v>838873</v>
      </c>
      <c r="M18" s="6" t="n">
        <v>1092437</v>
      </c>
      <c r="N18" s="6" t="n">
        <v>665342</v>
      </c>
      <c r="O18" s="6" t="n">
        <v>4507080</v>
      </c>
      <c r="P18" s="6" t="n">
        <v>3849667</v>
      </c>
    </row>
    <row r="19" ht="14" customHeight="1">
      <c r="A19" s="3" t="inlineStr">
        <is>
          <t>Jul 06 2026</t>
        </is>
      </c>
      <c r="B19" s="3" t="inlineStr">
        <is>
          <t>Client</t>
        </is>
      </c>
      <c r="C19" s="4" t="n">
        <v>232341</v>
      </c>
      <c r="D19" s="4" t="n">
        <v>67709</v>
      </c>
      <c r="E19" s="4" t="n">
        <v>3179272</v>
      </c>
      <c r="F19" s="4" t="n">
        <v>234871</v>
      </c>
      <c r="G19" s="4" t="n">
        <v>2801650</v>
      </c>
      <c r="H19" s="4" t="n">
        <v>3400685</v>
      </c>
      <c r="I19" s="4" t="n">
        <v>2754218</v>
      </c>
      <c r="J19" s="4" t="n">
        <v>3913827</v>
      </c>
      <c r="K19" s="4" t="n">
        <v>1634622</v>
      </c>
      <c r="L19" s="4" t="n">
        <v>648181</v>
      </c>
      <c r="M19" s="4" t="n">
        <v>1038830</v>
      </c>
      <c r="N19" s="4" t="n">
        <v>897275</v>
      </c>
      <c r="O19" s="4" t="n">
        <v>11896752</v>
      </c>
      <c r="P19" s="4" t="n">
        <v>8906730</v>
      </c>
    </row>
    <row r="20" ht="14" customHeight="1">
      <c r="A20" s="5" t="inlineStr">
        <is>
          <t>Jul 06 2026</t>
        </is>
      </c>
      <c r="B20" s="5" t="inlineStr">
        <is>
          <t>DII</t>
        </is>
      </c>
      <c r="C20" s="6" t="n">
        <v>77668</v>
      </c>
      <c r="D20" s="6" t="n">
        <v>11572</v>
      </c>
      <c r="E20" s="6" t="n">
        <v>287044</v>
      </c>
      <c r="F20" s="6" t="n">
        <v>4297008</v>
      </c>
      <c r="G20" s="6" t="n">
        <v>4195</v>
      </c>
      <c r="H20" s="6" t="n">
        <v>26015</v>
      </c>
      <c r="I20" s="6" t="n">
        <v>800</v>
      </c>
      <c r="J20" s="6" t="n">
        <v>1779</v>
      </c>
      <c r="K20" s="6" t="n">
        <v>359</v>
      </c>
      <c r="L20" s="6" t="n">
        <v>35410</v>
      </c>
      <c r="M20" s="6" t="n">
        <v>238644</v>
      </c>
      <c r="N20" s="6" t="n">
        <v>6859</v>
      </c>
      <c r="O20" s="6" t="n">
        <v>430691</v>
      </c>
      <c r="P20" s="6" t="n">
        <v>4556662</v>
      </c>
    </row>
    <row r="21" ht="14" customHeight="1">
      <c r="A21" s="3" t="inlineStr">
        <is>
          <t>Jul 06 2026</t>
        </is>
      </c>
      <c r="B21" s="3" t="inlineStr">
        <is>
          <t>FII</t>
        </is>
      </c>
      <c r="C21" s="4" t="n">
        <v>32686</v>
      </c>
      <c r="D21" s="4" t="n">
        <v>273965</v>
      </c>
      <c r="E21" s="4" t="n">
        <v>3856372</v>
      </c>
      <c r="F21" s="4" t="n">
        <v>3284328</v>
      </c>
      <c r="G21" s="4" t="n">
        <v>481814</v>
      </c>
      <c r="H21" s="4" t="n">
        <v>973972</v>
      </c>
      <c r="I21" s="4" t="n">
        <v>670467</v>
      </c>
      <c r="J21" s="4" t="n">
        <v>516945</v>
      </c>
      <c r="K21" s="4" t="n">
        <v>151938</v>
      </c>
      <c r="L21" s="4" t="n">
        <v>214429</v>
      </c>
      <c r="M21" s="4" t="n">
        <v>239161</v>
      </c>
      <c r="N21" s="4" t="n">
        <v>151451</v>
      </c>
      <c r="O21" s="4" t="n">
        <v>5711211</v>
      </c>
      <c r="P21" s="4" t="n">
        <v>5136316</v>
      </c>
    </row>
    <row r="22" ht="14" customHeight="1">
      <c r="A22" s="5" t="inlineStr">
        <is>
          <t>Jul 06 2026</t>
        </is>
      </c>
      <c r="B22" s="5" t="inlineStr">
        <is>
          <t>Pro</t>
        </is>
      </c>
      <c r="C22" s="6" t="n">
        <v>42645</v>
      </c>
      <c r="D22" s="6" t="n">
        <v>32094</v>
      </c>
      <c r="E22" s="6" t="n">
        <v>864025</v>
      </c>
      <c r="F22" s="6" t="n">
        <v>370506</v>
      </c>
      <c r="G22" s="6" t="n">
        <v>962571</v>
      </c>
      <c r="H22" s="6" t="n">
        <v>1246877</v>
      </c>
      <c r="I22" s="6" t="n">
        <v>824746</v>
      </c>
      <c r="J22" s="6" t="n">
        <v>1214999</v>
      </c>
      <c r="K22" s="6" t="n">
        <v>869717</v>
      </c>
      <c r="L22" s="6" t="n">
        <v>869926</v>
      </c>
      <c r="M22" s="6" t="n">
        <v>1140001</v>
      </c>
      <c r="N22" s="6" t="n">
        <v>712361</v>
      </c>
      <c r="O22" s="6" t="n">
        <v>4855761</v>
      </c>
      <c r="P22" s="6" t="n">
        <v>4294706</v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TV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Jun 30 2026</t>
        </is>
      </c>
      <c r="B3" s="3" t="inlineStr">
        <is>
          <t>Client</t>
        </is>
      </c>
      <c r="C3" s="4" t="n">
        <v>135165</v>
      </c>
      <c r="D3" s="4" t="n">
        <v>107950</v>
      </c>
      <c r="E3" s="4" t="n">
        <v>987700</v>
      </c>
      <c r="F3" s="4" t="n">
        <v>992576</v>
      </c>
      <c r="G3" s="4" t="n">
        <v>75958613</v>
      </c>
      <c r="H3" s="4" t="n">
        <v>76460947</v>
      </c>
      <c r="I3" s="4" t="n">
        <v>76047061</v>
      </c>
      <c r="J3" s="4" t="n">
        <v>76815187</v>
      </c>
      <c r="K3" s="4" t="n">
        <v>1544409</v>
      </c>
      <c r="L3" s="4" t="n">
        <v>825526</v>
      </c>
      <c r="M3" s="4" t="n">
        <v>1747706</v>
      </c>
      <c r="N3" s="4" t="n">
        <v>813316</v>
      </c>
      <c r="O3" s="4" t="n">
        <v>155912360</v>
      </c>
      <c r="P3" s="4" t="n">
        <v>156523796</v>
      </c>
    </row>
    <row r="4" ht="14" customHeight="1">
      <c r="A4" s="5" t="inlineStr">
        <is>
          <t>Jun 30 2026</t>
        </is>
      </c>
      <c r="B4" s="5" t="inlineStr">
        <is>
          <t>DII</t>
        </is>
      </c>
      <c r="C4" s="6" t="n">
        <v>14545</v>
      </c>
      <c r="D4" s="6" t="n">
        <v>14664</v>
      </c>
      <c r="E4" s="6" t="n">
        <v>778869</v>
      </c>
      <c r="F4" s="6" t="n">
        <v>740517</v>
      </c>
      <c r="G4" s="6" t="n">
        <v>129</v>
      </c>
      <c r="H4" s="6" t="n">
        <v>7079</v>
      </c>
      <c r="I4" s="6" t="n">
        <v>13</v>
      </c>
      <c r="J4" s="6" t="n">
        <v>3383</v>
      </c>
      <c r="K4" s="6" t="n">
        <v>36049</v>
      </c>
      <c r="L4" s="6" t="n">
        <v>20065</v>
      </c>
      <c r="M4" s="6" t="n">
        <v>33289</v>
      </c>
      <c r="N4" s="6" t="n">
        <v>4673</v>
      </c>
      <c r="O4" s="6" t="n">
        <v>856736</v>
      </c>
      <c r="P4" s="6" t="n">
        <v>796539</v>
      </c>
    </row>
    <row r="5" ht="14" customHeight="1">
      <c r="A5" s="3" t="inlineStr">
        <is>
          <t>Jun 30 2026</t>
        </is>
      </c>
      <c r="B5" s="3" t="inlineStr">
        <is>
          <t>FII</t>
        </is>
      </c>
      <c r="C5" s="4" t="n">
        <v>52322</v>
      </c>
      <c r="D5" s="4" t="n">
        <v>94754</v>
      </c>
      <c r="E5" s="4" t="n">
        <v>563935</v>
      </c>
      <c r="F5" s="4" t="n">
        <v>591908</v>
      </c>
      <c r="G5" s="4" t="n">
        <v>12168278</v>
      </c>
      <c r="H5" s="4" t="n">
        <v>12134969</v>
      </c>
      <c r="I5" s="4" t="n">
        <v>12217924</v>
      </c>
      <c r="J5" s="4" t="n">
        <v>12152177</v>
      </c>
      <c r="K5" s="4" t="n">
        <v>138358</v>
      </c>
      <c r="L5" s="4" t="n">
        <v>108360</v>
      </c>
      <c r="M5" s="4" t="n">
        <v>157331</v>
      </c>
      <c r="N5" s="4" t="n">
        <v>113197</v>
      </c>
      <c r="O5" s="4" t="n">
        <v>25166222</v>
      </c>
      <c r="P5" s="4" t="n">
        <v>25327291</v>
      </c>
    </row>
    <row r="6" ht="14" customHeight="1">
      <c r="A6" s="5" t="inlineStr">
        <is>
          <t>Jun 30 2026</t>
        </is>
      </c>
      <c r="B6" s="5" t="inlineStr">
        <is>
          <t>Pro</t>
        </is>
      </c>
      <c r="C6" s="6" t="n">
        <v>60442</v>
      </c>
      <c r="D6" s="6" t="n">
        <v>45106</v>
      </c>
      <c r="E6" s="6" t="n">
        <v>991821</v>
      </c>
      <c r="F6" s="6" t="n">
        <v>997324</v>
      </c>
      <c r="G6" s="6" t="n">
        <v>145732077</v>
      </c>
      <c r="H6" s="6" t="n">
        <v>144010663</v>
      </c>
      <c r="I6" s="6" t="n">
        <v>145594099</v>
      </c>
      <c r="J6" s="6" t="n">
        <v>143642911</v>
      </c>
      <c r="K6" s="6" t="n">
        <v>3215552</v>
      </c>
      <c r="L6" s="6" t="n">
        <v>1938645</v>
      </c>
      <c r="M6" s="6" t="n">
        <v>2996042</v>
      </c>
      <c r="N6" s="6" t="n">
        <v>1961410</v>
      </c>
      <c r="O6" s="6" t="n">
        <v>295949200</v>
      </c>
      <c r="P6" s="6" t="n">
        <v>295236892</v>
      </c>
    </row>
    <row r="7" ht="14" customHeight="1">
      <c r="A7" s="3" t="inlineStr">
        <is>
          <t>Jul 01 2026</t>
        </is>
      </c>
      <c r="B7" s="3" t="inlineStr">
        <is>
          <t>Client</t>
        </is>
      </c>
      <c r="C7" s="4" t="n">
        <v>38315</v>
      </c>
      <c r="D7" s="4" t="n">
        <v>36899</v>
      </c>
      <c r="E7" s="4" t="n">
        <v>318985</v>
      </c>
      <c r="F7" s="4" t="n">
        <v>297223</v>
      </c>
      <c r="G7" s="4" t="n">
        <v>11055090</v>
      </c>
      <c r="H7" s="4" t="n">
        <v>9548800</v>
      </c>
      <c r="I7" s="4" t="n">
        <v>11112376</v>
      </c>
      <c r="J7" s="4" t="n">
        <v>9529699</v>
      </c>
      <c r="K7" s="4" t="n">
        <v>1185213</v>
      </c>
      <c r="L7" s="4" t="n">
        <v>424204</v>
      </c>
      <c r="M7" s="4" t="n">
        <v>1086786</v>
      </c>
      <c r="N7" s="4" t="n">
        <v>434418</v>
      </c>
      <c r="O7" s="4" t="n">
        <v>22570607</v>
      </c>
      <c r="P7" s="4" t="n">
        <v>22497401</v>
      </c>
    </row>
    <row r="8" ht="14" customHeight="1">
      <c r="A8" s="5" t="inlineStr">
        <is>
          <t>Jul 01 2026</t>
        </is>
      </c>
      <c r="B8" s="5" t="inlineStr">
        <is>
          <t>DII</t>
        </is>
      </c>
      <c r="C8" s="6" t="n">
        <v>38</v>
      </c>
      <c r="D8" s="6" t="n">
        <v>30</v>
      </c>
      <c r="E8" s="6" t="n">
        <v>62007</v>
      </c>
      <c r="F8" s="6" t="n">
        <v>64119</v>
      </c>
      <c r="G8" s="6" t="n">
        <v>160</v>
      </c>
      <c r="H8" s="6" t="n">
        <v>2470</v>
      </c>
      <c r="I8" s="6" t="n">
        <v>25</v>
      </c>
      <c r="J8" s="6" t="n">
        <v>0</v>
      </c>
      <c r="K8" s="6" t="n">
        <v>187</v>
      </c>
      <c r="L8" s="6" t="n">
        <v>965</v>
      </c>
      <c r="M8" s="6" t="n">
        <v>63805</v>
      </c>
      <c r="N8" s="6" t="n">
        <v>554</v>
      </c>
      <c r="O8" s="6" t="n">
        <v>65827</v>
      </c>
      <c r="P8" s="6" t="n">
        <v>128533</v>
      </c>
    </row>
    <row r="9" ht="14" customHeight="1">
      <c r="A9" s="3" t="inlineStr">
        <is>
          <t>Jul 01 2026</t>
        </is>
      </c>
      <c r="B9" s="3" t="inlineStr">
        <is>
          <t>FII</t>
        </is>
      </c>
      <c r="C9" s="4" t="n">
        <v>8329</v>
      </c>
      <c r="D9" s="4" t="n">
        <v>11978</v>
      </c>
      <c r="E9" s="4" t="n">
        <v>254926</v>
      </c>
      <c r="F9" s="4" t="n">
        <v>268171</v>
      </c>
      <c r="G9" s="4" t="n">
        <v>1602749</v>
      </c>
      <c r="H9" s="4" t="n">
        <v>1679752</v>
      </c>
      <c r="I9" s="4" t="n">
        <v>1618771</v>
      </c>
      <c r="J9" s="4" t="n">
        <v>1706504</v>
      </c>
      <c r="K9" s="4" t="n">
        <v>112829</v>
      </c>
      <c r="L9" s="4" t="n">
        <v>89589</v>
      </c>
      <c r="M9" s="4" t="n">
        <v>129047</v>
      </c>
      <c r="N9" s="4" t="n">
        <v>85296</v>
      </c>
      <c r="O9" s="4" t="n">
        <v>3748174</v>
      </c>
      <c r="P9" s="4" t="n">
        <v>3819767</v>
      </c>
    </row>
    <row r="10" ht="14" customHeight="1">
      <c r="A10" s="5" t="inlineStr">
        <is>
          <t>Jul 01 2026</t>
        </is>
      </c>
      <c r="B10" s="5" t="inlineStr">
        <is>
          <t>Pro</t>
        </is>
      </c>
      <c r="C10" s="6" t="n">
        <v>17737</v>
      </c>
      <c r="D10" s="6" t="n">
        <v>15512</v>
      </c>
      <c r="E10" s="6" t="n">
        <v>368951</v>
      </c>
      <c r="F10" s="6" t="n">
        <v>375356</v>
      </c>
      <c r="G10" s="6" t="n">
        <v>11982776</v>
      </c>
      <c r="H10" s="6" t="n">
        <v>10654692</v>
      </c>
      <c r="I10" s="6" t="n">
        <v>11909603</v>
      </c>
      <c r="J10" s="6" t="n">
        <v>10649511</v>
      </c>
      <c r="K10" s="6" t="n">
        <v>2074601</v>
      </c>
      <c r="L10" s="6" t="n">
        <v>1181581</v>
      </c>
      <c r="M10" s="6" t="n">
        <v>2093192</v>
      </c>
      <c r="N10" s="6" t="n">
        <v>1176071</v>
      </c>
      <c r="O10" s="6" t="n">
        <v>26280338</v>
      </c>
      <c r="P10" s="6" t="n">
        <v>26219245</v>
      </c>
    </row>
    <row r="11" ht="14" customHeight="1">
      <c r="A11" s="3" t="inlineStr">
        <is>
          <t>Jul 02 2026</t>
        </is>
      </c>
      <c r="B11" s="3" t="inlineStr">
        <is>
          <t>Client</t>
        </is>
      </c>
      <c r="C11" s="4" t="n">
        <v>36217</v>
      </c>
      <c r="D11" s="4" t="n">
        <v>45754</v>
      </c>
      <c r="E11" s="4" t="n">
        <v>307640</v>
      </c>
      <c r="F11" s="4" t="n">
        <v>324540</v>
      </c>
      <c r="G11" s="4" t="n">
        <v>10421970</v>
      </c>
      <c r="H11" s="4" t="n">
        <v>9420694</v>
      </c>
      <c r="I11" s="4" t="n">
        <v>10497891</v>
      </c>
      <c r="J11" s="4" t="n">
        <v>9300159</v>
      </c>
      <c r="K11" s="4" t="n">
        <v>1075111</v>
      </c>
      <c r="L11" s="4" t="n">
        <v>405185</v>
      </c>
      <c r="M11" s="4" t="n">
        <v>1117159</v>
      </c>
      <c r="N11" s="4" t="n">
        <v>400242</v>
      </c>
      <c r="O11" s="4" t="n">
        <v>21666817</v>
      </c>
      <c r="P11" s="4" t="n">
        <v>21685745</v>
      </c>
    </row>
    <row r="12" ht="14" customHeight="1">
      <c r="A12" s="5" t="inlineStr">
        <is>
          <t>Jul 02 2026</t>
        </is>
      </c>
      <c r="B12" s="5" t="inlineStr">
        <is>
          <t>DII</t>
        </is>
      </c>
      <c r="C12" s="6" t="n">
        <v>3707</v>
      </c>
      <c r="D12" s="6" t="n">
        <v>0</v>
      </c>
      <c r="E12" s="6" t="n">
        <v>64787</v>
      </c>
      <c r="F12" s="6" t="n">
        <v>69668</v>
      </c>
      <c r="G12" s="6" t="n">
        <v>75</v>
      </c>
      <c r="H12" s="6" t="n">
        <v>0</v>
      </c>
      <c r="I12" s="6" t="n">
        <v>140</v>
      </c>
      <c r="J12" s="6" t="n">
        <v>840</v>
      </c>
      <c r="K12" s="6" t="n">
        <v>158</v>
      </c>
      <c r="L12" s="6" t="n">
        <v>1217</v>
      </c>
      <c r="M12" s="6" t="n">
        <v>26928</v>
      </c>
      <c r="N12" s="6" t="n">
        <v>1532</v>
      </c>
      <c r="O12" s="6" t="n">
        <v>69944</v>
      </c>
      <c r="P12" s="6" t="n">
        <v>99108</v>
      </c>
    </row>
    <row r="13" ht="14" customHeight="1">
      <c r="A13" s="3" t="inlineStr">
        <is>
          <t>Jul 02 2026</t>
        </is>
      </c>
      <c r="B13" s="3" t="inlineStr">
        <is>
          <t>FII</t>
        </is>
      </c>
      <c r="C13" s="4" t="n">
        <v>14087</v>
      </c>
      <c r="D13" s="4" t="n">
        <v>10928</v>
      </c>
      <c r="E13" s="4" t="n">
        <v>311107</v>
      </c>
      <c r="F13" s="4" t="n">
        <v>273387</v>
      </c>
      <c r="G13" s="4" t="n">
        <v>1973383</v>
      </c>
      <c r="H13" s="4" t="n">
        <v>1963695</v>
      </c>
      <c r="I13" s="4" t="n">
        <v>1949163</v>
      </c>
      <c r="J13" s="4" t="n">
        <v>2027436</v>
      </c>
      <c r="K13" s="4" t="n">
        <v>127427</v>
      </c>
      <c r="L13" s="4" t="n">
        <v>92937</v>
      </c>
      <c r="M13" s="4" t="n">
        <v>125846</v>
      </c>
      <c r="N13" s="4" t="n">
        <v>83273</v>
      </c>
      <c r="O13" s="4" t="n">
        <v>4482636</v>
      </c>
      <c r="P13" s="4" t="n">
        <v>4470033</v>
      </c>
    </row>
    <row r="14" ht="14" customHeight="1">
      <c r="A14" s="5" t="inlineStr">
        <is>
          <t>Jul 02 2026</t>
        </is>
      </c>
      <c r="B14" s="5" t="inlineStr">
        <is>
          <t>Pro</t>
        </is>
      </c>
      <c r="C14" s="6" t="n">
        <v>18164</v>
      </c>
      <c r="D14" s="6" t="n">
        <v>15493</v>
      </c>
      <c r="E14" s="6" t="n">
        <v>355346</v>
      </c>
      <c r="F14" s="6" t="n">
        <v>371285</v>
      </c>
      <c r="G14" s="6" t="n">
        <v>13663059</v>
      </c>
      <c r="H14" s="6" t="n">
        <v>12583231</v>
      </c>
      <c r="I14" s="6" t="n">
        <v>13611293</v>
      </c>
      <c r="J14" s="6" t="n">
        <v>12639185</v>
      </c>
      <c r="K14" s="6" t="n">
        <v>2016344</v>
      </c>
      <c r="L14" s="6" t="n">
        <v>1098776</v>
      </c>
      <c r="M14" s="6" t="n">
        <v>1949107</v>
      </c>
      <c r="N14" s="6" t="n">
        <v>1113068</v>
      </c>
      <c r="O14" s="6" t="n">
        <v>29734920</v>
      </c>
      <c r="P14" s="6" t="n">
        <v>29699431</v>
      </c>
    </row>
    <row r="15" ht="14" customHeight="1">
      <c r="A15" s="3" t="inlineStr">
        <is>
          <t>Jul 03 2026</t>
        </is>
      </c>
      <c r="B15" s="3" t="inlineStr">
        <is>
          <t>Client</t>
        </is>
      </c>
      <c r="C15" s="4" t="n">
        <v>40468</v>
      </c>
      <c r="D15" s="4" t="n">
        <v>45757</v>
      </c>
      <c r="E15" s="4" t="n">
        <v>339271</v>
      </c>
      <c r="F15" s="4" t="n">
        <v>340745</v>
      </c>
      <c r="G15" s="4" t="n">
        <v>19331141</v>
      </c>
      <c r="H15" s="4" t="n">
        <v>19707743</v>
      </c>
      <c r="I15" s="4" t="n">
        <v>19301209</v>
      </c>
      <c r="J15" s="4" t="n">
        <v>19743331</v>
      </c>
      <c r="K15" s="4" t="n">
        <v>1302701</v>
      </c>
      <c r="L15" s="4" t="n">
        <v>460934</v>
      </c>
      <c r="M15" s="4" t="n">
        <v>1248966</v>
      </c>
      <c r="N15" s="4" t="n">
        <v>482640</v>
      </c>
      <c r="O15" s="4" t="n">
        <v>41182258</v>
      </c>
      <c r="P15" s="4" t="n">
        <v>41162648</v>
      </c>
    </row>
    <row r="16" ht="14" customHeight="1">
      <c r="A16" s="5" t="inlineStr">
        <is>
          <t>Jul 03 2026</t>
        </is>
      </c>
      <c r="B16" s="5" t="inlineStr">
        <is>
          <t>DII</t>
        </is>
      </c>
      <c r="C16" s="6" t="n">
        <v>112</v>
      </c>
      <c r="D16" s="6" t="n">
        <v>134</v>
      </c>
      <c r="E16" s="6" t="n">
        <v>73703</v>
      </c>
      <c r="F16" s="6" t="n">
        <v>69044</v>
      </c>
      <c r="G16" s="6" t="n">
        <v>670</v>
      </c>
      <c r="H16" s="6" t="n">
        <v>465</v>
      </c>
      <c r="I16" s="6" t="n">
        <v>835</v>
      </c>
      <c r="J16" s="6" t="n">
        <v>80</v>
      </c>
      <c r="K16" s="6" t="n">
        <v>706</v>
      </c>
      <c r="L16" s="6" t="n">
        <v>799</v>
      </c>
      <c r="M16" s="6" t="n">
        <v>41185</v>
      </c>
      <c r="N16" s="6" t="n">
        <v>2262</v>
      </c>
      <c r="O16" s="6" t="n">
        <v>76455</v>
      </c>
      <c r="P16" s="6" t="n">
        <v>113540</v>
      </c>
    </row>
    <row r="17" ht="14" customHeight="1">
      <c r="A17" s="3" t="inlineStr">
        <is>
          <t>Jul 03 2026</t>
        </is>
      </c>
      <c r="B17" s="3" t="inlineStr">
        <is>
          <t>FII</t>
        </is>
      </c>
      <c r="C17" s="4" t="n">
        <v>13475</v>
      </c>
      <c r="D17" s="4" t="n">
        <v>7342</v>
      </c>
      <c r="E17" s="4" t="n">
        <v>301682</v>
      </c>
      <c r="F17" s="4" t="n">
        <v>288902</v>
      </c>
      <c r="G17" s="4" t="n">
        <v>2314134</v>
      </c>
      <c r="H17" s="4" t="n">
        <v>2633504</v>
      </c>
      <c r="I17" s="4" t="n">
        <v>2322707</v>
      </c>
      <c r="J17" s="4" t="n">
        <v>2598371</v>
      </c>
      <c r="K17" s="4" t="n">
        <v>179265</v>
      </c>
      <c r="L17" s="4" t="n">
        <v>120553</v>
      </c>
      <c r="M17" s="4" t="n">
        <v>195749</v>
      </c>
      <c r="N17" s="4" t="n">
        <v>109062</v>
      </c>
      <c r="O17" s="4" t="n">
        <v>5562613</v>
      </c>
      <c r="P17" s="4" t="n">
        <v>5522133</v>
      </c>
    </row>
    <row r="18" ht="14" customHeight="1">
      <c r="A18" s="5" t="inlineStr">
        <is>
          <t>Jul 03 2026</t>
        </is>
      </c>
      <c r="B18" s="5" t="inlineStr">
        <is>
          <t>Pro</t>
        </is>
      </c>
      <c r="C18" s="6" t="n">
        <v>20756</v>
      </c>
      <c r="D18" s="6" t="n">
        <v>21578</v>
      </c>
      <c r="E18" s="6" t="n">
        <v>396766</v>
      </c>
      <c r="F18" s="6" t="n">
        <v>412731</v>
      </c>
      <c r="G18" s="6" t="n">
        <v>22384789</v>
      </c>
      <c r="H18" s="6" t="n">
        <v>23909727</v>
      </c>
      <c r="I18" s="6" t="n">
        <v>22405983</v>
      </c>
      <c r="J18" s="6" t="n">
        <v>23909657</v>
      </c>
      <c r="K18" s="6" t="n">
        <v>2320937</v>
      </c>
      <c r="L18" s="6" t="n">
        <v>1273133</v>
      </c>
      <c r="M18" s="6" t="n">
        <v>2317709</v>
      </c>
      <c r="N18" s="6" t="n">
        <v>1261455</v>
      </c>
      <c r="O18" s="6" t="n">
        <v>50306108</v>
      </c>
      <c r="P18" s="6" t="n">
        <v>50329113</v>
      </c>
    </row>
    <row r="19" ht="14" customHeight="1">
      <c r="A19" s="3" t="inlineStr">
        <is>
          <t>Jul 06 2026</t>
        </is>
      </c>
      <c r="B19" s="3" t="inlineStr">
        <is>
          <t>Client</t>
        </is>
      </c>
      <c r="C19" s="4" t="n">
        <v>35762</v>
      </c>
      <c r="D19" s="4" t="n">
        <v>43827</v>
      </c>
      <c r="E19" s="4" t="n">
        <v>275406</v>
      </c>
      <c r="F19" s="4" t="n">
        <v>308498</v>
      </c>
      <c r="G19" s="4" t="n">
        <v>26676122</v>
      </c>
      <c r="H19" s="4" t="n">
        <v>23340629</v>
      </c>
      <c r="I19" s="4" t="n">
        <v>26717715</v>
      </c>
      <c r="J19" s="4" t="n">
        <v>23240950</v>
      </c>
      <c r="K19" s="4" t="n">
        <v>1161255</v>
      </c>
      <c r="L19" s="4" t="n">
        <v>417475</v>
      </c>
      <c r="M19" s="4" t="n">
        <v>1138509</v>
      </c>
      <c r="N19" s="4" t="n">
        <v>399372</v>
      </c>
      <c r="O19" s="4" t="n">
        <v>51906649</v>
      </c>
      <c r="P19" s="4" t="n">
        <v>51848871</v>
      </c>
    </row>
    <row r="20" ht="14" customHeight="1">
      <c r="A20" s="5" t="inlineStr">
        <is>
          <t>Jul 06 2026</t>
        </is>
      </c>
      <c r="B20" s="5" t="inlineStr">
        <is>
          <t>DII</t>
        </is>
      </c>
      <c r="C20" s="6" t="n">
        <v>1760</v>
      </c>
      <c r="D20" s="6" t="n">
        <v>238</v>
      </c>
      <c r="E20" s="6" t="n">
        <v>83827</v>
      </c>
      <c r="F20" s="6" t="n">
        <v>58976</v>
      </c>
      <c r="G20" s="6" t="n">
        <v>195</v>
      </c>
      <c r="H20" s="6" t="n">
        <v>1074</v>
      </c>
      <c r="I20" s="6" t="n">
        <v>55</v>
      </c>
      <c r="J20" s="6" t="n">
        <v>1879</v>
      </c>
      <c r="K20" s="6" t="n">
        <v>262</v>
      </c>
      <c r="L20" s="6" t="n">
        <v>921</v>
      </c>
      <c r="M20" s="6" t="n">
        <v>37331</v>
      </c>
      <c r="N20" s="6" t="n">
        <v>891</v>
      </c>
      <c r="O20" s="6" t="n">
        <v>88039</v>
      </c>
      <c r="P20" s="6" t="n">
        <v>99370</v>
      </c>
    </row>
    <row r="21" ht="14" customHeight="1">
      <c r="A21" s="3" t="inlineStr">
        <is>
          <t>Jul 06 2026</t>
        </is>
      </c>
      <c r="B21" s="3" t="inlineStr">
        <is>
          <t>FII</t>
        </is>
      </c>
      <c r="C21" s="4" t="n">
        <v>17088</v>
      </c>
      <c r="D21" s="4" t="n">
        <v>7600</v>
      </c>
      <c r="E21" s="4" t="n">
        <v>249999</v>
      </c>
      <c r="F21" s="4" t="n">
        <v>225304</v>
      </c>
      <c r="G21" s="4" t="n">
        <v>3473359</v>
      </c>
      <c r="H21" s="4" t="n">
        <v>3702980</v>
      </c>
      <c r="I21" s="4" t="n">
        <v>3428539</v>
      </c>
      <c r="J21" s="4" t="n">
        <v>3723128</v>
      </c>
      <c r="K21" s="4" t="n">
        <v>186781</v>
      </c>
      <c r="L21" s="4" t="n">
        <v>110242</v>
      </c>
      <c r="M21" s="4" t="n">
        <v>193558</v>
      </c>
      <c r="N21" s="4" t="n">
        <v>112409</v>
      </c>
      <c r="O21" s="4" t="n">
        <v>7740449</v>
      </c>
      <c r="P21" s="4" t="n">
        <v>7690538</v>
      </c>
    </row>
    <row r="22" ht="14" customHeight="1">
      <c r="A22" s="5" t="inlineStr">
        <is>
          <t>Jul 06 2026</t>
        </is>
      </c>
      <c r="B22" s="5" t="inlineStr">
        <is>
          <t>Pro</t>
        </is>
      </c>
      <c r="C22" s="6" t="n">
        <v>13446</v>
      </c>
      <c r="D22" s="6" t="n">
        <v>16391</v>
      </c>
      <c r="E22" s="6" t="n">
        <v>325838</v>
      </c>
      <c r="F22" s="6" t="n">
        <v>342292</v>
      </c>
      <c r="G22" s="6" t="n">
        <v>35248941</v>
      </c>
      <c r="H22" s="6" t="n">
        <v>34721560</v>
      </c>
      <c r="I22" s="6" t="n">
        <v>35252308</v>
      </c>
      <c r="J22" s="6" t="n">
        <v>34800286</v>
      </c>
      <c r="K22" s="6" t="n">
        <v>1982791</v>
      </c>
      <c r="L22" s="6" t="n">
        <v>1039069</v>
      </c>
      <c r="M22" s="6" t="n">
        <v>1961691</v>
      </c>
      <c r="N22" s="6" t="n">
        <v>1055035</v>
      </c>
      <c r="O22" s="6" t="n">
        <v>73331645</v>
      </c>
      <c r="P22" s="6" t="n">
        <v>73428003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NSE FAO — Raw Option Chain Data</t>
        </is>
      </c>
    </row>
    <row r="2" ht="16" customHeight="1">
      <c r="A2" s="7" t="inlineStr"/>
      <c r="C2" s="8" t="inlineStr">
        <is>
          <t>CALLS</t>
        </is>
      </c>
      <c r="D2" s="9" t="n"/>
      <c r="E2" s="9" t="n"/>
      <c r="F2" s="9" t="n"/>
      <c r="G2" s="9" t="n"/>
      <c r="H2" s="9" t="n"/>
      <c r="I2" s="9" t="n"/>
      <c r="J2" s="10" t="inlineStr">
        <is>
          <t>PUTS</t>
        </is>
      </c>
      <c r="K2" s="11" t="n"/>
      <c r="L2" s="11" t="n"/>
      <c r="M2" s="11" t="n"/>
      <c r="N2" s="11" t="n"/>
    </row>
    <row r="3" ht="28" customHeight="1">
      <c r="A3" s="2" t="inlineStr">
        <is>
          <t>Date</t>
        </is>
      </c>
      <c r="B3" s="2" t="inlineStr">
        <is>
          <t>Strike</t>
        </is>
      </c>
      <c r="C3" s="12" t="inlineStr">
        <is>
          <t>Call OI</t>
        </is>
      </c>
      <c r="D3" s="12" t="inlineStr">
        <is>
          <t>Call ΔOI</t>
        </is>
      </c>
      <c r="E3" s="12" t="inlineStr">
        <is>
          <t>Call Vol</t>
        </is>
      </c>
      <c r="F3" s="12" t="inlineStr">
        <is>
          <t>Call IV</t>
        </is>
      </c>
      <c r="G3" s="12" t="inlineStr">
        <is>
          <t>Call LTP</t>
        </is>
      </c>
      <c r="H3" s="12" t="inlineStr">
        <is>
          <t>Call Chng</t>
        </is>
      </c>
      <c r="I3" s="12" t="inlineStr">
        <is>
          <t>Put OI</t>
        </is>
      </c>
      <c r="J3" s="13" t="inlineStr">
        <is>
          <t>Put ΔOI</t>
        </is>
      </c>
      <c r="K3" s="13" t="inlineStr">
        <is>
          <t>Put Vol</t>
        </is>
      </c>
      <c r="L3" s="13" t="inlineStr">
        <is>
          <t>Put IV</t>
        </is>
      </c>
      <c r="M3" s="13" t="inlineStr">
        <is>
          <t>Put LTP</t>
        </is>
      </c>
      <c r="N3" s="13" t="inlineStr">
        <is>
          <t>Put Chng</t>
        </is>
      </c>
    </row>
    <row r="4" ht="14" customHeight="1">
      <c r="A4" s="14" t="inlineStr">
        <is>
          <t>Jul 06 2026</t>
        </is>
      </c>
    </row>
    <row r="5" ht="13" customHeight="1">
      <c r="A5" s="15" t="inlineStr">
        <is>
          <t>Jul 06 2026</t>
        </is>
      </c>
      <c r="B5" s="6" t="n">
        <v>21350</v>
      </c>
      <c r="C5" s="6" t="n">
        <v>2</v>
      </c>
      <c r="D5" s="6" t="n">
        <v>0</v>
      </c>
      <c r="E5" s="6" t="n">
        <v>0</v>
      </c>
      <c r="F5" s="15" t="n"/>
      <c r="G5" s="16" t="n">
        <v>2825</v>
      </c>
      <c r="H5" s="15" t="n"/>
      <c r="I5" s="6" t="n">
        <v>24451</v>
      </c>
      <c r="J5" s="6" t="n">
        <v>-5771</v>
      </c>
      <c r="K5" s="6" t="n">
        <v>47317</v>
      </c>
      <c r="L5" s="16" t="n">
        <v>87.03</v>
      </c>
      <c r="M5" s="16" t="n">
        <v>0.45</v>
      </c>
      <c r="N5" s="16" t="n">
        <v>0.05</v>
      </c>
    </row>
    <row r="6" ht="13" customHeight="1">
      <c r="A6" s="17" t="inlineStr">
        <is>
          <t>Jul 06 2026</t>
        </is>
      </c>
      <c r="B6" s="4" t="n">
        <v>21400</v>
      </c>
      <c r="C6" s="4" t="n">
        <v>0</v>
      </c>
      <c r="D6" s="4" t="n">
        <v>0</v>
      </c>
      <c r="E6" s="4" t="n">
        <v>0</v>
      </c>
      <c r="F6" s="17" t="n"/>
      <c r="G6" s="17" t="n"/>
      <c r="H6" s="17" t="n"/>
      <c r="I6" s="4" t="n">
        <v>14219</v>
      </c>
      <c r="J6" s="4" t="n">
        <v>-1535</v>
      </c>
      <c r="K6" s="4" t="n">
        <v>39816</v>
      </c>
      <c r="L6" s="18" t="n">
        <v>81.48999999999999</v>
      </c>
      <c r="M6" s="18" t="n">
        <v>0.25</v>
      </c>
      <c r="N6" s="18" t="n">
        <v>-0.2</v>
      </c>
    </row>
    <row r="7" ht="13" customHeight="1">
      <c r="A7" s="15" t="inlineStr">
        <is>
          <t>Jul 06 2026</t>
        </is>
      </c>
      <c r="B7" s="6" t="n">
        <v>21450</v>
      </c>
      <c r="C7" s="6" t="n">
        <v>0</v>
      </c>
      <c r="D7" s="6" t="n">
        <v>0</v>
      </c>
      <c r="E7" s="6" t="n">
        <v>0</v>
      </c>
      <c r="F7" s="15" t="n"/>
      <c r="G7" s="15" t="n"/>
      <c r="H7" s="15" t="n"/>
      <c r="I7" s="6" t="n">
        <v>745</v>
      </c>
      <c r="J7" s="6" t="n">
        <v>-124</v>
      </c>
      <c r="K7" s="6" t="n">
        <v>7664</v>
      </c>
      <c r="L7" s="16" t="n">
        <v>81.38</v>
      </c>
      <c r="M7" s="16" t="n">
        <v>0.3</v>
      </c>
      <c r="N7" s="16" t="n">
        <v>-0.15</v>
      </c>
    </row>
    <row r="8" ht="13" customHeight="1">
      <c r="A8" s="17" t="inlineStr">
        <is>
          <t>Jul 06 2026</t>
        </is>
      </c>
      <c r="B8" s="4" t="n">
        <v>21500</v>
      </c>
      <c r="C8" s="4" t="n">
        <v>21</v>
      </c>
      <c r="D8" s="4" t="n">
        <v>0</v>
      </c>
      <c r="E8" s="4" t="n">
        <v>0</v>
      </c>
      <c r="F8" s="18" t="n">
        <v>63.34</v>
      </c>
      <c r="G8" s="18" t="n">
        <v>2483.7</v>
      </c>
      <c r="H8" s="17" t="n"/>
      <c r="I8" s="4" t="n">
        <v>19760</v>
      </c>
      <c r="J8" s="4" t="n">
        <v>-10335</v>
      </c>
      <c r="K8" s="4" t="n">
        <v>69405</v>
      </c>
      <c r="L8" s="18" t="n">
        <v>78.84</v>
      </c>
      <c r="M8" s="18" t="n">
        <v>0.25</v>
      </c>
      <c r="N8" s="18" t="n">
        <v>-0.2</v>
      </c>
    </row>
    <row r="9" ht="13" customHeight="1">
      <c r="A9" s="15" t="inlineStr">
        <is>
          <t>Jul 06 2026</t>
        </is>
      </c>
      <c r="B9" s="6" t="n">
        <v>21550</v>
      </c>
      <c r="C9" s="6" t="n">
        <v>0</v>
      </c>
      <c r="D9" s="6" t="n">
        <v>0</v>
      </c>
      <c r="E9" s="6" t="n">
        <v>0</v>
      </c>
      <c r="F9" s="15" t="n"/>
      <c r="G9" s="15" t="n"/>
      <c r="H9" s="15" t="n"/>
      <c r="I9" s="6" t="n">
        <v>926</v>
      </c>
      <c r="J9" s="6" t="n">
        <v>-103</v>
      </c>
      <c r="K9" s="6" t="n">
        <v>5444</v>
      </c>
      <c r="L9" s="16" t="n">
        <v>77.52</v>
      </c>
      <c r="M9" s="16" t="n">
        <v>0.25</v>
      </c>
      <c r="N9" s="16" t="n">
        <v>-0.2</v>
      </c>
    </row>
    <row r="10" ht="13" customHeight="1">
      <c r="A10" s="17" t="inlineStr">
        <is>
          <t>Jul 06 2026</t>
        </is>
      </c>
      <c r="B10" s="4" t="n">
        <v>21600</v>
      </c>
      <c r="C10" s="4" t="n">
        <v>0</v>
      </c>
      <c r="D10" s="4" t="n">
        <v>0</v>
      </c>
      <c r="E10" s="4" t="n">
        <v>0</v>
      </c>
      <c r="F10" s="17" t="n"/>
      <c r="G10" s="17" t="n"/>
      <c r="H10" s="17" t="n"/>
      <c r="I10" s="4" t="n">
        <v>3143</v>
      </c>
      <c r="J10" s="4" t="n">
        <v>92</v>
      </c>
      <c r="K10" s="4" t="n">
        <v>15722</v>
      </c>
      <c r="L10" s="18" t="n">
        <v>77.36</v>
      </c>
      <c r="M10" s="18" t="n">
        <v>0.3</v>
      </c>
      <c r="N10" s="18" t="n">
        <v>-0.15</v>
      </c>
    </row>
    <row r="11" ht="13" customHeight="1">
      <c r="A11" s="15" t="inlineStr">
        <is>
          <t>Jul 06 2026</t>
        </is>
      </c>
      <c r="B11" s="6" t="n">
        <v>21650</v>
      </c>
      <c r="C11" s="6" t="n">
        <v>0</v>
      </c>
      <c r="D11" s="6" t="n">
        <v>0</v>
      </c>
      <c r="E11" s="6" t="n">
        <v>0</v>
      </c>
      <c r="F11" s="15" t="n"/>
      <c r="G11" s="15" t="n"/>
      <c r="H11" s="15" t="n"/>
      <c r="I11" s="6" t="n">
        <v>289</v>
      </c>
      <c r="J11" s="6" t="n">
        <v>-465</v>
      </c>
      <c r="K11" s="6" t="n">
        <v>3478</v>
      </c>
      <c r="L11" s="16" t="n">
        <v>74.88</v>
      </c>
      <c r="M11" s="16" t="n">
        <v>0.25</v>
      </c>
      <c r="N11" s="16" t="n">
        <v>-0.25</v>
      </c>
    </row>
    <row r="12" ht="13" customHeight="1">
      <c r="A12" s="17" t="inlineStr">
        <is>
          <t>Jul 06 2026</t>
        </is>
      </c>
      <c r="B12" s="4" t="n">
        <v>21700</v>
      </c>
      <c r="C12" s="4" t="n">
        <v>0</v>
      </c>
      <c r="D12" s="4" t="n">
        <v>0</v>
      </c>
      <c r="E12" s="4" t="n">
        <v>0</v>
      </c>
      <c r="F12" s="17" t="n"/>
      <c r="G12" s="17" t="n"/>
      <c r="H12" s="17" t="n"/>
      <c r="I12" s="4" t="n">
        <v>1554</v>
      </c>
      <c r="J12" s="4" t="n">
        <v>-293</v>
      </c>
      <c r="K12" s="4" t="n">
        <v>10061</v>
      </c>
      <c r="L12" s="18" t="n">
        <v>73.56999999999999</v>
      </c>
      <c r="M12" s="18" t="n">
        <v>0.25</v>
      </c>
      <c r="N12" s="18" t="n">
        <v>-0.25</v>
      </c>
    </row>
    <row r="13" ht="13" customHeight="1">
      <c r="A13" s="15" t="inlineStr">
        <is>
          <t>Jul 06 2026</t>
        </is>
      </c>
      <c r="B13" s="6" t="n">
        <v>21750</v>
      </c>
      <c r="C13" s="6" t="n">
        <v>0</v>
      </c>
      <c r="D13" s="6" t="n">
        <v>0</v>
      </c>
      <c r="E13" s="6" t="n">
        <v>0</v>
      </c>
      <c r="F13" s="15" t="n"/>
      <c r="G13" s="15" t="n"/>
      <c r="H13" s="15" t="n"/>
      <c r="I13" s="6" t="n">
        <v>277</v>
      </c>
      <c r="J13" s="6" t="n">
        <v>-283</v>
      </c>
      <c r="K13" s="6" t="n">
        <v>1710</v>
      </c>
      <c r="L13" s="16" t="n">
        <v>73.36</v>
      </c>
      <c r="M13" s="16" t="n">
        <v>0.3</v>
      </c>
      <c r="N13" s="16" t="n">
        <v>-0.2</v>
      </c>
    </row>
    <row r="14" ht="13" customHeight="1">
      <c r="A14" s="17" t="inlineStr">
        <is>
          <t>Jul 06 2026</t>
        </is>
      </c>
      <c r="B14" s="4" t="n">
        <v>21800</v>
      </c>
      <c r="C14" s="4" t="n">
        <v>0</v>
      </c>
      <c r="D14" s="4" t="n">
        <v>0</v>
      </c>
      <c r="E14" s="4" t="n">
        <v>0</v>
      </c>
      <c r="F14" s="17" t="n"/>
      <c r="G14" s="17" t="n"/>
      <c r="H14" s="17" t="n"/>
      <c r="I14" s="4" t="n">
        <v>4915</v>
      </c>
      <c r="J14" s="4" t="n">
        <v>-3718</v>
      </c>
      <c r="K14" s="4" t="n">
        <v>27668</v>
      </c>
      <c r="L14" s="18" t="n">
        <v>72.98999999999999</v>
      </c>
      <c r="M14" s="18" t="n">
        <v>0.35</v>
      </c>
      <c r="N14" s="18" t="n">
        <v>-0.15</v>
      </c>
    </row>
    <row r="15" ht="13" customHeight="1">
      <c r="A15" s="15" t="inlineStr">
        <is>
          <t>Jul 06 2026</t>
        </is>
      </c>
      <c r="B15" s="6" t="n">
        <v>21850</v>
      </c>
      <c r="C15" s="6" t="n">
        <v>0</v>
      </c>
      <c r="D15" s="6" t="n">
        <v>0</v>
      </c>
      <c r="E15" s="6" t="n">
        <v>0</v>
      </c>
      <c r="F15" s="15" t="n"/>
      <c r="G15" s="15" t="n"/>
      <c r="H15" s="15" t="n"/>
      <c r="I15" s="6" t="n">
        <v>309</v>
      </c>
      <c r="J15" s="6" t="n">
        <v>-536</v>
      </c>
      <c r="K15" s="6" t="n">
        <v>2547</v>
      </c>
      <c r="L15" s="16" t="n">
        <v>72.48999999999999</v>
      </c>
      <c r="M15" s="16" t="n">
        <v>0.4</v>
      </c>
      <c r="N15" s="16" t="n">
        <v>-0.15</v>
      </c>
    </row>
    <row r="16" ht="13" customHeight="1">
      <c r="A16" s="17" t="inlineStr">
        <is>
          <t>Jul 06 2026</t>
        </is>
      </c>
      <c r="B16" s="4" t="n">
        <v>21900</v>
      </c>
      <c r="C16" s="4" t="n">
        <v>0</v>
      </c>
      <c r="D16" s="4" t="n">
        <v>0</v>
      </c>
      <c r="E16" s="4" t="n">
        <v>0</v>
      </c>
      <c r="F16" s="17" t="n"/>
      <c r="G16" s="17" t="n"/>
      <c r="H16" s="17" t="n"/>
      <c r="I16" s="4" t="n">
        <v>3617</v>
      </c>
      <c r="J16" s="4" t="n">
        <v>-1233</v>
      </c>
      <c r="K16" s="4" t="n">
        <v>21623</v>
      </c>
      <c r="L16" s="18" t="n">
        <v>71.13</v>
      </c>
      <c r="M16" s="18" t="n">
        <v>0.4</v>
      </c>
      <c r="N16" s="18" t="n">
        <v>-0.15</v>
      </c>
    </row>
    <row r="17" ht="13" customHeight="1">
      <c r="A17" s="15" t="inlineStr">
        <is>
          <t>Jul 06 2026</t>
        </is>
      </c>
      <c r="B17" s="6" t="n">
        <v>21950</v>
      </c>
      <c r="C17" s="6" t="n">
        <v>0</v>
      </c>
      <c r="D17" s="6" t="n">
        <v>0</v>
      </c>
      <c r="E17" s="6" t="n">
        <v>0</v>
      </c>
      <c r="F17" s="15" t="n"/>
      <c r="G17" s="15" t="n"/>
      <c r="H17" s="15" t="n"/>
      <c r="I17" s="6" t="n">
        <v>1171</v>
      </c>
      <c r="J17" s="6" t="n">
        <v>-2323</v>
      </c>
      <c r="K17" s="6" t="n">
        <v>12713</v>
      </c>
      <c r="L17" s="16" t="n">
        <v>68.04000000000001</v>
      </c>
      <c r="M17" s="16" t="n">
        <v>0.3</v>
      </c>
      <c r="N17" s="16" t="n">
        <v>-0.2</v>
      </c>
    </row>
    <row r="18" ht="13" customHeight="1">
      <c r="A18" s="17" t="inlineStr">
        <is>
          <t>Jul 06 2026</t>
        </is>
      </c>
      <c r="B18" s="4" t="n">
        <v>22000</v>
      </c>
      <c r="C18" s="4" t="n">
        <v>72</v>
      </c>
      <c r="D18" s="4" t="n">
        <v>-8</v>
      </c>
      <c r="E18" s="4" t="n">
        <v>16</v>
      </c>
      <c r="F18" s="17" t="n"/>
      <c r="G18" s="18" t="n">
        <v>2390</v>
      </c>
      <c r="H18" s="18" t="n">
        <v>110.3</v>
      </c>
      <c r="I18" s="4" t="n">
        <v>32228</v>
      </c>
      <c r="J18" s="4" t="n">
        <v>-33807</v>
      </c>
      <c r="K18" s="4" t="n">
        <v>175475</v>
      </c>
      <c r="L18" s="18" t="n">
        <v>68.42</v>
      </c>
      <c r="M18" s="18" t="n">
        <v>0.4</v>
      </c>
      <c r="N18" s="18" t="n">
        <v>-0.15</v>
      </c>
    </row>
    <row r="19" ht="13" customHeight="1">
      <c r="A19" s="15" t="inlineStr">
        <is>
          <t>Jul 06 2026</t>
        </is>
      </c>
      <c r="B19" s="6" t="n">
        <v>22050</v>
      </c>
      <c r="C19" s="6" t="n">
        <v>0</v>
      </c>
      <c r="D19" s="6" t="n">
        <v>0</v>
      </c>
      <c r="E19" s="6" t="n">
        <v>0</v>
      </c>
      <c r="F19" s="15" t="n"/>
      <c r="G19" s="15" t="n"/>
      <c r="H19" s="15" t="n"/>
      <c r="I19" s="6" t="n">
        <v>1445</v>
      </c>
      <c r="J19" s="6" t="n">
        <v>-1920</v>
      </c>
      <c r="K19" s="6" t="n">
        <v>22239</v>
      </c>
      <c r="L19" s="16" t="n">
        <v>66.27</v>
      </c>
      <c r="M19" s="16" t="n">
        <v>0.35</v>
      </c>
      <c r="N19" s="16" t="n">
        <v>-0.2</v>
      </c>
    </row>
    <row r="20" ht="13" customHeight="1">
      <c r="A20" s="17" t="inlineStr">
        <is>
          <t>Jul 06 2026</t>
        </is>
      </c>
      <c r="B20" s="4" t="n">
        <v>22100</v>
      </c>
      <c r="C20" s="4" t="n">
        <v>0</v>
      </c>
      <c r="D20" s="4" t="n">
        <v>0</v>
      </c>
      <c r="E20" s="4" t="n">
        <v>0</v>
      </c>
      <c r="F20" s="17" t="n"/>
      <c r="G20" s="17" t="n"/>
      <c r="H20" s="17" t="n"/>
      <c r="I20" s="4" t="n">
        <v>2278</v>
      </c>
      <c r="J20" s="4" t="n">
        <v>-3793</v>
      </c>
      <c r="K20" s="4" t="n">
        <v>45116</v>
      </c>
      <c r="L20" s="18" t="n">
        <v>65.70999999999999</v>
      </c>
      <c r="M20" s="18" t="n">
        <v>0.4</v>
      </c>
      <c r="N20" s="18" t="n">
        <v>-0.2</v>
      </c>
    </row>
    <row r="21" ht="13" customHeight="1">
      <c r="A21" s="15" t="inlineStr">
        <is>
          <t>Jul 06 2026</t>
        </is>
      </c>
      <c r="B21" s="6" t="n">
        <v>22150</v>
      </c>
      <c r="C21" s="6" t="n">
        <v>0</v>
      </c>
      <c r="D21" s="6" t="n">
        <v>0</v>
      </c>
      <c r="E21" s="6" t="n">
        <v>0</v>
      </c>
      <c r="F21" s="15" t="n"/>
      <c r="G21" s="15" t="n"/>
      <c r="H21" s="15" t="n"/>
      <c r="I21" s="6" t="n">
        <v>1239</v>
      </c>
      <c r="J21" s="6" t="n">
        <v>-2546</v>
      </c>
      <c r="K21" s="6" t="n">
        <v>26937</v>
      </c>
      <c r="L21" s="16" t="n">
        <v>64.36</v>
      </c>
      <c r="M21" s="16" t="n">
        <v>0.4</v>
      </c>
      <c r="N21" s="16" t="n">
        <v>-0.2</v>
      </c>
    </row>
    <row r="22" ht="13" customHeight="1">
      <c r="A22" s="17" t="inlineStr">
        <is>
          <t>Jul 06 2026</t>
        </is>
      </c>
      <c r="B22" s="4" t="n">
        <v>22200</v>
      </c>
      <c r="C22" s="4" t="n">
        <v>1</v>
      </c>
      <c r="D22" s="4" t="n">
        <v>0</v>
      </c>
      <c r="E22" s="4" t="n">
        <v>0</v>
      </c>
      <c r="F22" s="18" t="n">
        <v>131.65</v>
      </c>
      <c r="G22" s="18" t="n">
        <v>2150</v>
      </c>
      <c r="H22" s="17" t="n"/>
      <c r="I22" s="4" t="n">
        <v>4203</v>
      </c>
      <c r="J22" s="4" t="n">
        <v>-6432</v>
      </c>
      <c r="K22" s="4" t="n">
        <v>30690</v>
      </c>
      <c r="L22" s="18" t="n">
        <v>63.01</v>
      </c>
      <c r="M22" s="18" t="n">
        <v>0.4</v>
      </c>
      <c r="N22" s="18" t="n">
        <v>-0.2</v>
      </c>
    </row>
    <row r="23" ht="13" customHeight="1">
      <c r="A23" s="15" t="inlineStr">
        <is>
          <t>Jul 06 2026</t>
        </is>
      </c>
      <c r="B23" s="6" t="n">
        <v>22250</v>
      </c>
      <c r="C23" s="6" t="n">
        <v>0</v>
      </c>
      <c r="D23" s="6" t="n">
        <v>0</v>
      </c>
      <c r="E23" s="6" t="n">
        <v>0</v>
      </c>
      <c r="F23" s="15" t="n"/>
      <c r="G23" s="15" t="n"/>
      <c r="H23" s="15" t="n"/>
      <c r="I23" s="6" t="n">
        <v>2016</v>
      </c>
      <c r="J23" s="6" t="n">
        <v>-2074</v>
      </c>
      <c r="K23" s="6" t="n">
        <v>29620</v>
      </c>
      <c r="L23" s="16" t="n">
        <v>60.92</v>
      </c>
      <c r="M23" s="16" t="n">
        <v>0.35</v>
      </c>
      <c r="N23" s="16" t="n">
        <v>-0.3</v>
      </c>
    </row>
    <row r="24" ht="13" customHeight="1">
      <c r="A24" s="17" t="inlineStr">
        <is>
          <t>Jul 06 2026</t>
        </is>
      </c>
      <c r="B24" s="4" t="n">
        <v>22300</v>
      </c>
      <c r="C24" s="4" t="n">
        <v>1</v>
      </c>
      <c r="D24" s="4" t="n">
        <v>0</v>
      </c>
      <c r="E24" s="4" t="n">
        <v>0</v>
      </c>
      <c r="F24" s="17" t="n"/>
      <c r="G24" s="18" t="n">
        <v>1592.85</v>
      </c>
      <c r="H24" s="17" t="n"/>
      <c r="I24" s="4" t="n">
        <v>5788</v>
      </c>
      <c r="J24" s="4" t="n">
        <v>-8133</v>
      </c>
      <c r="K24" s="4" t="n">
        <v>46158</v>
      </c>
      <c r="L24" s="18" t="n">
        <v>60.96</v>
      </c>
      <c r="M24" s="18" t="n">
        <v>0.45</v>
      </c>
      <c r="N24" s="18" t="n">
        <v>-0.25</v>
      </c>
    </row>
    <row r="25" ht="13" customHeight="1">
      <c r="A25" s="15" t="inlineStr">
        <is>
          <t>Jul 06 2026</t>
        </is>
      </c>
      <c r="B25" s="6" t="n">
        <v>22350</v>
      </c>
      <c r="C25" s="6" t="n">
        <v>0</v>
      </c>
      <c r="D25" s="6" t="n">
        <v>0</v>
      </c>
      <c r="E25" s="6" t="n">
        <v>0</v>
      </c>
      <c r="F25" s="15" t="n"/>
      <c r="G25" s="15" t="n"/>
      <c r="H25" s="15" t="n"/>
      <c r="I25" s="6" t="n">
        <v>1548</v>
      </c>
      <c r="J25" s="6" t="n">
        <v>-769</v>
      </c>
      <c r="K25" s="6" t="n">
        <v>16805</v>
      </c>
      <c r="L25" s="16" t="n">
        <v>58.25</v>
      </c>
      <c r="M25" s="16" t="n">
        <v>0.35</v>
      </c>
      <c r="N25" s="16" t="n">
        <v>-0.35</v>
      </c>
    </row>
    <row r="26" ht="13" customHeight="1">
      <c r="A26" s="17" t="inlineStr">
        <is>
          <t>Jul 06 2026</t>
        </is>
      </c>
      <c r="B26" s="4" t="n">
        <v>22400</v>
      </c>
      <c r="C26" s="4" t="n">
        <v>0</v>
      </c>
      <c r="D26" s="4" t="n">
        <v>0</v>
      </c>
      <c r="E26" s="4" t="n">
        <v>0</v>
      </c>
      <c r="F26" s="17" t="n"/>
      <c r="G26" s="17" t="n"/>
      <c r="H26" s="17" t="n"/>
      <c r="I26" s="4" t="n">
        <v>5939</v>
      </c>
      <c r="J26" s="4" t="n">
        <v>-3664</v>
      </c>
      <c r="K26" s="4" t="n">
        <v>41934</v>
      </c>
      <c r="L26" s="18" t="n">
        <v>59.36</v>
      </c>
      <c r="M26" s="18" t="n">
        <v>0.55</v>
      </c>
      <c r="N26" s="18" t="n">
        <v>-0.15</v>
      </c>
    </row>
    <row r="27" ht="13" customHeight="1">
      <c r="A27" s="15" t="inlineStr">
        <is>
          <t>Jul 06 2026</t>
        </is>
      </c>
      <c r="B27" s="6" t="n">
        <v>22450</v>
      </c>
      <c r="C27" s="6" t="n">
        <v>1</v>
      </c>
      <c r="D27" s="6" t="n">
        <v>0</v>
      </c>
      <c r="E27" s="6" t="n">
        <v>0</v>
      </c>
      <c r="F27" s="16" t="n">
        <v>59.88</v>
      </c>
      <c r="G27" s="16" t="n">
        <v>1728.4</v>
      </c>
      <c r="H27" s="15" t="n"/>
      <c r="I27" s="6" t="n">
        <v>1305</v>
      </c>
      <c r="J27" s="6" t="n">
        <v>-1425</v>
      </c>
      <c r="K27" s="6" t="n">
        <v>21183</v>
      </c>
      <c r="L27" s="16" t="n">
        <v>56.88</v>
      </c>
      <c r="M27" s="16" t="n">
        <v>0.45</v>
      </c>
      <c r="N27" s="16" t="n">
        <v>-0.3</v>
      </c>
    </row>
    <row r="28" ht="13" customHeight="1">
      <c r="A28" s="17" t="inlineStr">
        <is>
          <t>Jul 06 2026</t>
        </is>
      </c>
      <c r="B28" s="4" t="n">
        <v>22500</v>
      </c>
      <c r="C28" s="4" t="n">
        <v>139</v>
      </c>
      <c r="D28" s="4" t="n">
        <v>-100</v>
      </c>
      <c r="E28" s="4" t="n">
        <v>204</v>
      </c>
      <c r="F28" s="17" t="n"/>
      <c r="G28" s="18" t="n">
        <v>1916.15</v>
      </c>
      <c r="H28" s="18" t="n">
        <v>134.95</v>
      </c>
      <c r="I28" s="4" t="n">
        <v>33462</v>
      </c>
      <c r="J28" s="4" t="n">
        <v>-32192</v>
      </c>
      <c r="K28" s="4" t="n">
        <v>218655</v>
      </c>
      <c r="L28" s="18" t="n">
        <v>56.59</v>
      </c>
      <c r="M28" s="18" t="n">
        <v>0.55</v>
      </c>
      <c r="N28" s="18" t="n">
        <v>-0.2</v>
      </c>
    </row>
    <row r="29" ht="13" customHeight="1">
      <c r="A29" s="15" t="inlineStr">
        <is>
          <t>Jul 06 2026</t>
        </is>
      </c>
      <c r="B29" s="6" t="n">
        <v>22550</v>
      </c>
      <c r="C29" s="6" t="n">
        <v>0</v>
      </c>
      <c r="D29" s="6" t="n">
        <v>0</v>
      </c>
      <c r="E29" s="6" t="n">
        <v>0</v>
      </c>
      <c r="F29" s="15" t="n"/>
      <c r="G29" s="15" t="n"/>
      <c r="H29" s="15" t="n"/>
      <c r="I29" s="6" t="n">
        <v>2406</v>
      </c>
      <c r="J29" s="6" t="n">
        <v>-3425</v>
      </c>
      <c r="K29" s="6" t="n">
        <v>28443</v>
      </c>
      <c r="L29" s="16" t="n">
        <v>53.57</v>
      </c>
      <c r="M29" s="16" t="n">
        <v>0.4</v>
      </c>
      <c r="N29" s="16" t="n">
        <v>-0.4</v>
      </c>
    </row>
    <row r="30" ht="13" customHeight="1">
      <c r="A30" s="17" t="inlineStr">
        <is>
          <t>Jul 06 2026</t>
        </is>
      </c>
      <c r="B30" s="4" t="n">
        <v>22600</v>
      </c>
      <c r="C30" s="4" t="n">
        <v>1</v>
      </c>
      <c r="D30" s="4" t="n">
        <v>-1</v>
      </c>
      <c r="E30" s="4" t="n">
        <v>1</v>
      </c>
      <c r="F30" s="17" t="n"/>
      <c r="G30" s="18" t="n">
        <v>1826.9</v>
      </c>
      <c r="H30" s="18" t="n">
        <v>146.9</v>
      </c>
      <c r="I30" s="4" t="n">
        <v>11578</v>
      </c>
      <c r="J30" s="4" t="n">
        <v>-8307</v>
      </c>
      <c r="K30" s="4" t="n">
        <v>103616</v>
      </c>
      <c r="L30" s="18" t="n">
        <v>52.22</v>
      </c>
      <c r="M30" s="18" t="n">
        <v>0.4</v>
      </c>
      <c r="N30" s="18" t="n">
        <v>-0.45</v>
      </c>
    </row>
    <row r="31" ht="13" customHeight="1">
      <c r="A31" s="15" t="inlineStr">
        <is>
          <t>Jul 06 2026</t>
        </is>
      </c>
      <c r="B31" s="6" t="n">
        <v>22650</v>
      </c>
      <c r="C31" s="6" t="n">
        <v>1</v>
      </c>
      <c r="D31" s="6" t="n">
        <v>0</v>
      </c>
      <c r="E31" s="6" t="n">
        <v>0</v>
      </c>
      <c r="F31" s="16" t="n">
        <v>87.84999999999999</v>
      </c>
      <c r="G31" s="16" t="n">
        <v>1658</v>
      </c>
      <c r="H31" s="15" t="n"/>
      <c r="I31" s="6" t="n">
        <v>5870</v>
      </c>
      <c r="J31" s="6" t="n">
        <v>-3498</v>
      </c>
      <c r="K31" s="6" t="n">
        <v>79142</v>
      </c>
      <c r="L31" s="16" t="n">
        <v>50.88</v>
      </c>
      <c r="M31" s="16" t="n">
        <v>0.4</v>
      </c>
      <c r="N31" s="16" t="n">
        <v>-0.55</v>
      </c>
    </row>
    <row r="32" ht="13" customHeight="1">
      <c r="A32" s="17" t="inlineStr">
        <is>
          <t>Jul 06 2026</t>
        </is>
      </c>
      <c r="B32" s="4" t="n">
        <v>22700</v>
      </c>
      <c r="C32" s="4" t="n">
        <v>18</v>
      </c>
      <c r="D32" s="4" t="n">
        <v>0</v>
      </c>
      <c r="E32" s="4" t="n">
        <v>2</v>
      </c>
      <c r="F32" s="17" t="n"/>
      <c r="G32" s="18" t="n">
        <v>1713</v>
      </c>
      <c r="H32" s="18" t="n">
        <v>455.25</v>
      </c>
      <c r="I32" s="4" t="n">
        <v>10567</v>
      </c>
      <c r="J32" s="4" t="n">
        <v>-3614</v>
      </c>
      <c r="K32" s="4" t="n">
        <v>116942</v>
      </c>
      <c r="L32" s="18" t="n">
        <v>50.08</v>
      </c>
      <c r="M32" s="18" t="n">
        <v>0.45</v>
      </c>
      <c r="N32" s="18" t="n">
        <v>-0.45</v>
      </c>
    </row>
    <row r="33" ht="13" customHeight="1">
      <c r="A33" s="15" t="inlineStr">
        <is>
          <t>Jul 06 2026</t>
        </is>
      </c>
      <c r="B33" s="6" t="n">
        <v>22750</v>
      </c>
      <c r="C33" s="6" t="n">
        <v>0</v>
      </c>
      <c r="D33" s="6" t="n">
        <v>0</v>
      </c>
      <c r="E33" s="6" t="n">
        <v>0</v>
      </c>
      <c r="F33" s="15" t="n"/>
      <c r="G33" s="15" t="n"/>
      <c r="H33" s="15" t="n"/>
      <c r="I33" s="6" t="n">
        <v>3556</v>
      </c>
      <c r="J33" s="6" t="n">
        <v>-4992</v>
      </c>
      <c r="K33" s="6" t="n">
        <v>50837</v>
      </c>
      <c r="L33" s="16" t="n">
        <v>48.73</v>
      </c>
      <c r="M33" s="16" t="n">
        <v>0.45</v>
      </c>
      <c r="N33" s="16" t="n">
        <v>-0.4</v>
      </c>
    </row>
    <row r="34" ht="13" customHeight="1">
      <c r="A34" s="17" t="inlineStr">
        <is>
          <t>Jul 06 2026</t>
        </is>
      </c>
      <c r="B34" s="4" t="n">
        <v>22800</v>
      </c>
      <c r="C34" s="4" t="n">
        <v>49</v>
      </c>
      <c r="D34" s="4" t="n">
        <v>-161</v>
      </c>
      <c r="E34" s="4" t="n">
        <v>216</v>
      </c>
      <c r="F34" s="18" t="n">
        <v>72.36</v>
      </c>
      <c r="G34" s="18" t="n">
        <v>1648.4</v>
      </c>
      <c r="H34" s="18" t="n">
        <v>169.1</v>
      </c>
      <c r="I34" s="4" t="n">
        <v>20325</v>
      </c>
      <c r="J34" s="4" t="n">
        <v>-21074</v>
      </c>
      <c r="K34" s="4" t="n">
        <v>203410</v>
      </c>
      <c r="L34" s="18" t="n">
        <v>49.5</v>
      </c>
      <c r="M34" s="18" t="n">
        <v>0.7</v>
      </c>
      <c r="N34" s="18" t="n">
        <v>-0.25</v>
      </c>
    </row>
    <row r="35" ht="13" customHeight="1">
      <c r="A35" s="15" t="inlineStr">
        <is>
          <t>Jul 06 2026</t>
        </is>
      </c>
      <c r="B35" s="6" t="n">
        <v>22850</v>
      </c>
      <c r="C35" s="6" t="n">
        <v>14</v>
      </c>
      <c r="D35" s="6" t="n">
        <v>0</v>
      </c>
      <c r="E35" s="6" t="n">
        <v>0</v>
      </c>
      <c r="F35" s="15" t="n"/>
      <c r="G35" s="16" t="n">
        <v>1338.95</v>
      </c>
      <c r="H35" s="15" t="n"/>
      <c r="I35" s="6" t="n">
        <v>7881</v>
      </c>
      <c r="J35" s="6" t="n">
        <v>-5765</v>
      </c>
      <c r="K35" s="6" t="n">
        <v>88427</v>
      </c>
      <c r="L35" s="16" t="n">
        <v>48.44</v>
      </c>
      <c r="M35" s="16" t="n">
        <v>0.75</v>
      </c>
      <c r="N35" s="16" t="n">
        <v>-0.25</v>
      </c>
    </row>
    <row r="36" ht="13" customHeight="1">
      <c r="A36" s="17" t="inlineStr">
        <is>
          <t>Jul 06 2026</t>
        </is>
      </c>
      <c r="B36" s="4" t="n">
        <v>22900</v>
      </c>
      <c r="C36" s="4" t="n">
        <v>372</v>
      </c>
      <c r="D36" s="4" t="n">
        <v>-277</v>
      </c>
      <c r="E36" s="4" t="n">
        <v>566</v>
      </c>
      <c r="F36" s="17" t="n"/>
      <c r="G36" s="18" t="n">
        <v>1520.5</v>
      </c>
      <c r="H36" s="18" t="n">
        <v>139.25</v>
      </c>
      <c r="I36" s="4" t="n">
        <v>24221</v>
      </c>
      <c r="J36" s="4" t="n">
        <v>-18150</v>
      </c>
      <c r="K36" s="4" t="n">
        <v>194772</v>
      </c>
      <c r="L36" s="18" t="n">
        <v>46.32</v>
      </c>
      <c r="M36" s="18" t="n">
        <v>0.65</v>
      </c>
      <c r="N36" s="18" t="n">
        <v>-0.35</v>
      </c>
    </row>
    <row r="37" ht="13" customHeight="1">
      <c r="A37" s="15" t="inlineStr">
        <is>
          <t>Jul 06 2026</t>
        </is>
      </c>
      <c r="B37" s="6" t="n">
        <v>22950</v>
      </c>
      <c r="C37" s="6" t="n">
        <v>6</v>
      </c>
      <c r="D37" s="6" t="n">
        <v>0</v>
      </c>
      <c r="E37" s="6" t="n">
        <v>0</v>
      </c>
      <c r="F37" s="16" t="n">
        <v>24.31</v>
      </c>
      <c r="G37" s="16" t="n">
        <v>1254.85</v>
      </c>
      <c r="H37" s="15" t="n"/>
      <c r="I37" s="6" t="n">
        <v>9459</v>
      </c>
      <c r="J37" s="6" t="n">
        <v>-4627</v>
      </c>
      <c r="K37" s="6" t="n">
        <v>94495</v>
      </c>
      <c r="L37" s="16" t="n">
        <v>45.6</v>
      </c>
      <c r="M37" s="16" t="n">
        <v>0.75</v>
      </c>
      <c r="N37" s="16" t="n">
        <v>-0.35</v>
      </c>
    </row>
    <row r="38" ht="13" customHeight="1">
      <c r="A38" s="17" t="inlineStr">
        <is>
          <t>Jul 06 2026</t>
        </is>
      </c>
      <c r="B38" s="4" t="n">
        <v>23000</v>
      </c>
      <c r="C38" s="4" t="n">
        <v>1546</v>
      </c>
      <c r="D38" s="4" t="n">
        <v>-1181</v>
      </c>
      <c r="E38" s="4" t="n">
        <v>2121</v>
      </c>
      <c r="F38" s="17" t="n"/>
      <c r="G38" s="18" t="n">
        <v>1420.55</v>
      </c>
      <c r="H38" s="18" t="n">
        <v>141.2</v>
      </c>
      <c r="I38" s="4" t="n">
        <v>115208</v>
      </c>
      <c r="J38" s="4" t="n">
        <v>-21581</v>
      </c>
      <c r="K38" s="4" t="n">
        <v>740931</v>
      </c>
      <c r="L38" s="18" t="n">
        <v>44.48</v>
      </c>
      <c r="M38" s="18" t="n">
        <v>0.8</v>
      </c>
      <c r="N38" s="18" t="n">
        <v>-0.4</v>
      </c>
    </row>
    <row r="39" ht="13" customHeight="1">
      <c r="A39" s="15" t="inlineStr">
        <is>
          <t>Jul 06 2026</t>
        </is>
      </c>
      <c r="B39" s="6" t="n">
        <v>23050</v>
      </c>
      <c r="C39" s="6" t="n">
        <v>10</v>
      </c>
      <c r="D39" s="6" t="n">
        <v>0</v>
      </c>
      <c r="E39" s="6" t="n">
        <v>1</v>
      </c>
      <c r="F39" s="15" t="n"/>
      <c r="G39" s="16" t="n">
        <v>1291</v>
      </c>
      <c r="H39" s="16" t="n">
        <v>240.8</v>
      </c>
      <c r="I39" s="6" t="n">
        <v>8262</v>
      </c>
      <c r="J39" s="6" t="n">
        <v>-400</v>
      </c>
      <c r="K39" s="6" t="n">
        <v>98294</v>
      </c>
      <c r="L39" s="16" t="n">
        <v>43.05</v>
      </c>
      <c r="M39" s="16" t="n">
        <v>0.8</v>
      </c>
      <c r="N39" s="16" t="n">
        <v>-0.5</v>
      </c>
    </row>
    <row r="40" ht="13" customHeight="1">
      <c r="A40" s="17" t="inlineStr">
        <is>
          <t>Jul 06 2026</t>
        </is>
      </c>
      <c r="B40" s="4" t="n">
        <v>23100</v>
      </c>
      <c r="C40" s="4" t="n">
        <v>208</v>
      </c>
      <c r="D40" s="4" t="n">
        <v>-206</v>
      </c>
      <c r="E40" s="4" t="n">
        <v>390</v>
      </c>
      <c r="F40" s="17" t="n"/>
      <c r="G40" s="18" t="n">
        <v>1319.8</v>
      </c>
      <c r="H40" s="18" t="n">
        <v>137.8</v>
      </c>
      <c r="I40" s="4" t="n">
        <v>30311</v>
      </c>
      <c r="J40" s="4" t="n">
        <v>-14486</v>
      </c>
      <c r="K40" s="4" t="n">
        <v>337349</v>
      </c>
      <c r="L40" s="18" t="n">
        <v>42.16</v>
      </c>
      <c r="M40" s="18" t="n">
        <v>0.9</v>
      </c>
      <c r="N40" s="18" t="n">
        <v>-0.5</v>
      </c>
    </row>
    <row r="41" ht="13" customHeight="1">
      <c r="A41" s="15" t="inlineStr">
        <is>
          <t>Jul 06 2026</t>
        </is>
      </c>
      <c r="B41" s="6" t="n">
        <v>23150</v>
      </c>
      <c r="C41" s="6" t="n">
        <v>40</v>
      </c>
      <c r="D41" s="6" t="n">
        <v>0</v>
      </c>
      <c r="E41" s="6" t="n">
        <v>1</v>
      </c>
      <c r="F41" s="15" t="n"/>
      <c r="G41" s="16" t="n">
        <v>1250.25</v>
      </c>
      <c r="H41" s="16" t="n">
        <v>118.55</v>
      </c>
      <c r="I41" s="6" t="n">
        <v>16682</v>
      </c>
      <c r="J41" s="6" t="n">
        <v>2686</v>
      </c>
      <c r="K41" s="6" t="n">
        <v>161211</v>
      </c>
      <c r="L41" s="16" t="n">
        <v>40.46</v>
      </c>
      <c r="M41" s="16" t="n">
        <v>0.85</v>
      </c>
      <c r="N41" s="16" t="n">
        <v>-0.55</v>
      </c>
    </row>
    <row r="42" ht="13" customHeight="1">
      <c r="A42" s="17" t="inlineStr">
        <is>
          <t>Jul 06 2026</t>
        </is>
      </c>
      <c r="B42" s="4" t="n">
        <v>23200</v>
      </c>
      <c r="C42" s="4" t="n">
        <v>738</v>
      </c>
      <c r="D42" s="4" t="n">
        <v>-20</v>
      </c>
      <c r="E42" s="4" t="n">
        <v>232</v>
      </c>
      <c r="F42" s="17" t="n"/>
      <c r="G42" s="18" t="n">
        <v>1221</v>
      </c>
      <c r="H42" s="18" t="n">
        <v>137.65</v>
      </c>
      <c r="I42" s="4" t="n">
        <v>67336</v>
      </c>
      <c r="J42" s="4" t="n">
        <v>-10270</v>
      </c>
      <c r="K42" s="4" t="n">
        <v>565365</v>
      </c>
      <c r="L42" s="18" t="n">
        <v>39.96</v>
      </c>
      <c r="M42" s="18" t="n">
        <v>1.05</v>
      </c>
      <c r="N42" s="18" t="n">
        <v>-0.55</v>
      </c>
    </row>
    <row r="43" ht="13" customHeight="1">
      <c r="A43" s="15" t="inlineStr">
        <is>
          <t>Jul 06 2026</t>
        </is>
      </c>
      <c r="B43" s="6" t="n">
        <v>23250</v>
      </c>
      <c r="C43" s="6" t="n">
        <v>112</v>
      </c>
      <c r="D43" s="6" t="n">
        <v>3</v>
      </c>
      <c r="E43" s="6" t="n">
        <v>25</v>
      </c>
      <c r="F43" s="15" t="n"/>
      <c r="G43" s="16" t="n">
        <v>1173</v>
      </c>
      <c r="H43" s="16" t="n">
        <v>137.2</v>
      </c>
      <c r="I43" s="6" t="n">
        <v>22230</v>
      </c>
      <c r="J43" s="6" t="n">
        <v>845</v>
      </c>
      <c r="K43" s="6" t="n">
        <v>217691</v>
      </c>
      <c r="L43" s="16" t="n">
        <v>38.27</v>
      </c>
      <c r="M43" s="16" t="n">
        <v>1</v>
      </c>
      <c r="N43" s="16" t="n">
        <v>-0.7</v>
      </c>
    </row>
    <row r="44" ht="13" customHeight="1">
      <c r="A44" s="17" t="inlineStr">
        <is>
          <t>Jul 06 2026</t>
        </is>
      </c>
      <c r="B44" s="4" t="n">
        <v>23300</v>
      </c>
      <c r="C44" s="4" t="n">
        <v>800</v>
      </c>
      <c r="D44" s="4" t="n">
        <v>-31</v>
      </c>
      <c r="E44" s="4" t="n">
        <v>337</v>
      </c>
      <c r="F44" s="17" t="n"/>
      <c r="G44" s="18" t="n">
        <v>1120.15</v>
      </c>
      <c r="H44" s="18" t="n">
        <v>139.2</v>
      </c>
      <c r="I44" s="4" t="n">
        <v>78509</v>
      </c>
      <c r="J44" s="4" t="n">
        <v>-8270</v>
      </c>
      <c r="K44" s="4" t="n">
        <v>751723</v>
      </c>
      <c r="L44" s="18" t="n">
        <v>37.79</v>
      </c>
      <c r="M44" s="18" t="n">
        <v>1.25</v>
      </c>
      <c r="N44" s="18" t="n">
        <v>-0.5</v>
      </c>
    </row>
    <row r="45" ht="13" customHeight="1">
      <c r="A45" s="15" t="inlineStr">
        <is>
          <t>Jul 06 2026</t>
        </is>
      </c>
      <c r="B45" s="6" t="n">
        <v>23350</v>
      </c>
      <c r="C45" s="6" t="n">
        <v>484</v>
      </c>
      <c r="D45" s="6" t="n">
        <v>0</v>
      </c>
      <c r="E45" s="6" t="n">
        <v>4</v>
      </c>
      <c r="F45" s="15" t="n"/>
      <c r="G45" s="16" t="n">
        <v>1045.1</v>
      </c>
      <c r="H45" s="16" t="n">
        <v>111.4</v>
      </c>
      <c r="I45" s="6" t="n">
        <v>15517</v>
      </c>
      <c r="J45" s="6" t="n">
        <v>-9447</v>
      </c>
      <c r="K45" s="6" t="n">
        <v>257673</v>
      </c>
      <c r="L45" s="16" t="n">
        <v>36.63</v>
      </c>
      <c r="M45" s="16" t="n">
        <v>1.35</v>
      </c>
      <c r="N45" s="16" t="n">
        <v>-0.65</v>
      </c>
    </row>
    <row r="46" ht="13" customHeight="1">
      <c r="A46" s="17" t="inlineStr">
        <is>
          <t>Jul 06 2026</t>
        </is>
      </c>
      <c r="B46" s="4" t="n">
        <v>23400</v>
      </c>
      <c r="C46" s="4" t="n">
        <v>828</v>
      </c>
      <c r="D46" s="4" t="n">
        <v>-904</v>
      </c>
      <c r="E46" s="4" t="n">
        <v>1872</v>
      </c>
      <c r="F46" s="17" t="n"/>
      <c r="G46" s="18" t="n">
        <v>1018.1</v>
      </c>
      <c r="H46" s="18" t="n">
        <v>135</v>
      </c>
      <c r="I46" s="4" t="n">
        <v>56343</v>
      </c>
      <c r="J46" s="4" t="n">
        <v>-5189</v>
      </c>
      <c r="K46" s="4" t="n">
        <v>723844</v>
      </c>
      <c r="L46" s="18" t="n">
        <v>34.61</v>
      </c>
      <c r="M46" s="18" t="n">
        <v>1.2</v>
      </c>
      <c r="N46" s="18" t="n">
        <v>-0.9</v>
      </c>
    </row>
    <row r="47" ht="13" customHeight="1">
      <c r="A47" s="15" t="inlineStr">
        <is>
          <t>Jul 06 2026</t>
        </is>
      </c>
      <c r="B47" s="6" t="n">
        <v>23450</v>
      </c>
      <c r="C47" s="6" t="n">
        <v>358</v>
      </c>
      <c r="D47" s="6" t="n">
        <v>-1</v>
      </c>
      <c r="E47" s="6" t="n">
        <v>162</v>
      </c>
      <c r="F47" s="15" t="n"/>
      <c r="G47" s="16" t="n">
        <v>969.6</v>
      </c>
      <c r="H47" s="16" t="n">
        <v>136.7</v>
      </c>
      <c r="I47" s="6" t="n">
        <v>18106</v>
      </c>
      <c r="J47" s="6" t="n">
        <v>-2728</v>
      </c>
      <c r="K47" s="6" t="n">
        <v>353550</v>
      </c>
      <c r="L47" s="16" t="n">
        <v>32.93</v>
      </c>
      <c r="M47" s="16" t="n">
        <v>1.15</v>
      </c>
      <c r="N47" s="16" t="n">
        <v>-1.3</v>
      </c>
    </row>
    <row r="48" ht="13" customHeight="1">
      <c r="A48" s="17" t="inlineStr">
        <is>
          <t>Jul 06 2026</t>
        </is>
      </c>
      <c r="B48" s="4" t="n">
        <v>23500</v>
      </c>
      <c r="C48" s="4" t="n">
        <v>3350</v>
      </c>
      <c r="D48" s="4" t="n">
        <v>-1411</v>
      </c>
      <c r="E48" s="4" t="n">
        <v>3440</v>
      </c>
      <c r="F48" s="17" t="n"/>
      <c r="G48" s="18" t="n">
        <v>919.5</v>
      </c>
      <c r="H48" s="18" t="n">
        <v>135.6</v>
      </c>
      <c r="I48" s="4" t="n">
        <v>151820</v>
      </c>
      <c r="J48" s="4" t="n">
        <v>8106</v>
      </c>
      <c r="K48" s="4" t="n">
        <v>1567079</v>
      </c>
      <c r="L48" s="18" t="n">
        <v>32.36</v>
      </c>
      <c r="M48" s="18" t="n">
        <v>1.45</v>
      </c>
      <c r="N48" s="18" t="n">
        <v>-1.35</v>
      </c>
    </row>
    <row r="49" ht="13" customHeight="1">
      <c r="A49" s="15" t="inlineStr">
        <is>
          <t>Jul 06 2026</t>
        </is>
      </c>
      <c r="B49" s="6" t="n">
        <v>23550</v>
      </c>
      <c r="C49" s="6" t="n">
        <v>414</v>
      </c>
      <c r="D49" s="6" t="n">
        <v>28</v>
      </c>
      <c r="E49" s="6" t="n">
        <v>195</v>
      </c>
      <c r="F49" s="15" t="n"/>
      <c r="G49" s="16" t="n">
        <v>869.75</v>
      </c>
      <c r="H49" s="16" t="n">
        <v>134.7</v>
      </c>
      <c r="I49" s="6" t="n">
        <v>24386</v>
      </c>
      <c r="J49" s="6" t="n">
        <v>-6092</v>
      </c>
      <c r="K49" s="6" t="n">
        <v>602421</v>
      </c>
      <c r="L49" s="16" t="n">
        <v>30.96</v>
      </c>
      <c r="M49" s="16" t="n">
        <v>1.5</v>
      </c>
      <c r="N49" s="16" t="n">
        <v>-1.55</v>
      </c>
    </row>
    <row r="50" ht="13" customHeight="1">
      <c r="A50" s="17" t="inlineStr">
        <is>
          <t>Jul 06 2026</t>
        </is>
      </c>
      <c r="B50" s="4" t="n">
        <v>23600</v>
      </c>
      <c r="C50" s="4" t="n">
        <v>1383</v>
      </c>
      <c r="D50" s="4" t="n">
        <v>-485</v>
      </c>
      <c r="E50" s="4" t="n">
        <v>1603</v>
      </c>
      <c r="F50" s="17" t="n"/>
      <c r="G50" s="18" t="n">
        <v>818.45</v>
      </c>
      <c r="H50" s="18" t="n">
        <v>132.6</v>
      </c>
      <c r="I50" s="4" t="n">
        <v>97633</v>
      </c>
      <c r="J50" s="4" t="n">
        <v>6990</v>
      </c>
      <c r="K50" s="4" t="n">
        <v>1179789</v>
      </c>
      <c r="L50" s="18" t="n">
        <v>30.02</v>
      </c>
      <c r="M50" s="18" t="n">
        <v>1.75</v>
      </c>
      <c r="N50" s="18" t="n">
        <v>-1.75</v>
      </c>
    </row>
    <row r="51" ht="13" customHeight="1">
      <c r="A51" s="15" t="inlineStr">
        <is>
          <t>Jul 06 2026</t>
        </is>
      </c>
      <c r="B51" s="6" t="n">
        <v>23650</v>
      </c>
      <c r="C51" s="6" t="n">
        <v>560</v>
      </c>
      <c r="D51" s="6" t="n">
        <v>-56</v>
      </c>
      <c r="E51" s="6" t="n">
        <v>148</v>
      </c>
      <c r="F51" s="15" t="n"/>
      <c r="G51" s="16" t="n">
        <v>770</v>
      </c>
      <c r="H51" s="16" t="n">
        <v>133.35</v>
      </c>
      <c r="I51" s="6" t="n">
        <v>42382</v>
      </c>
      <c r="J51" s="6" t="n">
        <v>-6911</v>
      </c>
      <c r="K51" s="6" t="n">
        <v>753960</v>
      </c>
      <c r="L51" s="16" t="n">
        <v>28.43</v>
      </c>
      <c r="M51" s="16" t="n">
        <v>1.75</v>
      </c>
      <c r="N51" s="16" t="n">
        <v>-2.3</v>
      </c>
    </row>
    <row r="52" ht="13" customHeight="1">
      <c r="A52" s="17" t="inlineStr">
        <is>
          <t>Jul 06 2026</t>
        </is>
      </c>
      <c r="B52" s="4" t="n">
        <v>23700</v>
      </c>
      <c r="C52" s="4" t="n">
        <v>1788</v>
      </c>
      <c r="D52" s="4" t="n">
        <v>-924</v>
      </c>
      <c r="E52" s="4" t="n">
        <v>2574</v>
      </c>
      <c r="F52" s="17" t="n"/>
      <c r="G52" s="18" t="n">
        <v>724.45</v>
      </c>
      <c r="H52" s="18" t="n">
        <v>140.3</v>
      </c>
      <c r="I52" s="4" t="n">
        <v>94137</v>
      </c>
      <c r="J52" s="4" t="n">
        <v>24872</v>
      </c>
      <c r="K52" s="4" t="n">
        <v>1367083</v>
      </c>
      <c r="L52" s="18" t="n">
        <v>27.45</v>
      </c>
      <c r="M52" s="18" t="n">
        <v>2.05</v>
      </c>
      <c r="N52" s="18" t="n">
        <v>-2.45</v>
      </c>
    </row>
    <row r="53" ht="13" customHeight="1">
      <c r="A53" s="15" t="inlineStr">
        <is>
          <t>Jul 06 2026</t>
        </is>
      </c>
      <c r="B53" s="6" t="n">
        <v>23750</v>
      </c>
      <c r="C53" s="6" t="n">
        <v>1421</v>
      </c>
      <c r="D53" s="6" t="n">
        <v>-98</v>
      </c>
      <c r="E53" s="6" t="n">
        <v>796</v>
      </c>
      <c r="F53" s="15" t="n"/>
      <c r="G53" s="16" t="n">
        <v>671.6</v>
      </c>
      <c r="H53" s="16" t="n">
        <v>134.3</v>
      </c>
      <c r="I53" s="6" t="n">
        <v>55137</v>
      </c>
      <c r="J53" s="6" t="n">
        <v>5573</v>
      </c>
      <c r="K53" s="6" t="n">
        <v>929553</v>
      </c>
      <c r="L53" s="16" t="n">
        <v>26.18</v>
      </c>
      <c r="M53" s="16" t="n">
        <v>2.25</v>
      </c>
      <c r="N53" s="16" t="n">
        <v>-3.1</v>
      </c>
    </row>
    <row r="54" ht="13" customHeight="1">
      <c r="A54" s="17" t="inlineStr">
        <is>
          <t>Jul 06 2026</t>
        </is>
      </c>
      <c r="B54" s="4" t="n">
        <v>23800</v>
      </c>
      <c r="C54" s="4" t="n">
        <v>9126</v>
      </c>
      <c r="D54" s="4" t="n">
        <v>-3034</v>
      </c>
      <c r="E54" s="4" t="n">
        <v>7246</v>
      </c>
      <c r="F54" s="17" t="n"/>
      <c r="G54" s="18" t="n">
        <v>620.8</v>
      </c>
      <c r="H54" s="18" t="n">
        <v>132.2</v>
      </c>
      <c r="I54" s="4" t="n">
        <v>137531</v>
      </c>
      <c r="J54" s="4" t="n">
        <v>11668</v>
      </c>
      <c r="K54" s="4" t="n">
        <v>1449795</v>
      </c>
      <c r="L54" s="18" t="n">
        <v>25.15</v>
      </c>
      <c r="M54" s="18" t="n">
        <v>2.65</v>
      </c>
      <c r="N54" s="18" t="n">
        <v>-3.8</v>
      </c>
    </row>
    <row r="55" ht="13" customHeight="1">
      <c r="A55" s="15" t="inlineStr">
        <is>
          <t>Jul 06 2026</t>
        </is>
      </c>
      <c r="B55" s="6" t="n">
        <v>23850</v>
      </c>
      <c r="C55" s="6" t="n">
        <v>1841</v>
      </c>
      <c r="D55" s="6" t="n">
        <v>-95</v>
      </c>
      <c r="E55" s="6" t="n">
        <v>2128</v>
      </c>
      <c r="F55" s="15" t="n"/>
      <c r="G55" s="16" t="n">
        <v>571.3</v>
      </c>
      <c r="H55" s="16" t="n">
        <v>131.1</v>
      </c>
      <c r="I55" s="6" t="n">
        <v>91362</v>
      </c>
      <c r="J55" s="6" t="n">
        <v>24221</v>
      </c>
      <c r="K55" s="6" t="n">
        <v>966113</v>
      </c>
      <c r="L55" s="16" t="n">
        <v>23.93</v>
      </c>
      <c r="M55" s="16" t="n">
        <v>3</v>
      </c>
      <c r="N55" s="16" t="n">
        <v>-5.05</v>
      </c>
    </row>
    <row r="56" ht="13" customHeight="1">
      <c r="A56" s="17" t="inlineStr">
        <is>
          <t>Jul 06 2026</t>
        </is>
      </c>
      <c r="B56" s="4" t="n">
        <v>23900</v>
      </c>
      <c r="C56" s="4" t="n">
        <v>21440</v>
      </c>
      <c r="D56" s="4" t="n">
        <v>-4823</v>
      </c>
      <c r="E56" s="4" t="n">
        <v>18401</v>
      </c>
      <c r="F56" s="17" t="n"/>
      <c r="G56" s="18" t="n">
        <v>522.45</v>
      </c>
      <c r="H56" s="18" t="n">
        <v>130.3</v>
      </c>
      <c r="I56" s="4" t="n">
        <v>195387</v>
      </c>
      <c r="J56" s="4" t="n">
        <v>48001</v>
      </c>
      <c r="K56" s="4" t="n">
        <v>1541509</v>
      </c>
      <c r="L56" s="18" t="n">
        <v>22.84</v>
      </c>
      <c r="M56" s="18" t="n">
        <v>3.55</v>
      </c>
      <c r="N56" s="18" t="n">
        <v>-6.85</v>
      </c>
    </row>
    <row r="57" ht="13" customHeight="1">
      <c r="A57" s="15" t="inlineStr">
        <is>
          <t>Jul 06 2026</t>
        </is>
      </c>
      <c r="B57" s="6" t="n">
        <v>23950</v>
      </c>
      <c r="C57" s="6" t="n">
        <v>4244</v>
      </c>
      <c r="D57" s="6" t="n">
        <v>-3419</v>
      </c>
      <c r="E57" s="6" t="n">
        <v>11563</v>
      </c>
      <c r="F57" s="15" t="n"/>
      <c r="G57" s="16" t="n">
        <v>471.7</v>
      </c>
      <c r="H57" s="16" t="n">
        <v>126.1</v>
      </c>
      <c r="I57" s="6" t="n">
        <v>71344</v>
      </c>
      <c r="J57" s="6" t="n">
        <v>2925</v>
      </c>
      <c r="K57" s="6" t="n">
        <v>908523</v>
      </c>
      <c r="L57" s="16" t="n">
        <v>21.6</v>
      </c>
      <c r="M57" s="16" t="n">
        <v>4.1</v>
      </c>
      <c r="N57" s="16" t="n">
        <v>-9.300000000000001</v>
      </c>
    </row>
    <row r="58" ht="13" customHeight="1">
      <c r="A58" s="17" t="inlineStr">
        <is>
          <t>Jul 06 2026</t>
        </is>
      </c>
      <c r="B58" s="4" t="n">
        <v>24000</v>
      </c>
      <c r="C58" s="4" t="n">
        <v>56285</v>
      </c>
      <c r="D58" s="4" t="n">
        <v>-13189</v>
      </c>
      <c r="E58" s="4" t="n">
        <v>123185</v>
      </c>
      <c r="F58" s="17" t="n"/>
      <c r="G58" s="18" t="n">
        <v>422</v>
      </c>
      <c r="H58" s="18" t="n">
        <v>122</v>
      </c>
      <c r="I58" s="4" t="n">
        <v>249532</v>
      </c>
      <c r="J58" s="4" t="n">
        <v>35210</v>
      </c>
      <c r="K58" s="4" t="n">
        <v>2081795</v>
      </c>
      <c r="L58" s="18" t="n">
        <v>20.53</v>
      </c>
      <c r="M58" s="18" t="n">
        <v>5</v>
      </c>
      <c r="N58" s="18" t="n">
        <v>-12.55</v>
      </c>
    </row>
    <row r="59" ht="13" customHeight="1">
      <c r="A59" s="15" t="inlineStr">
        <is>
          <t>Jul 06 2026</t>
        </is>
      </c>
      <c r="B59" s="6" t="n">
        <v>24050</v>
      </c>
      <c r="C59" s="6" t="n">
        <v>13245</v>
      </c>
      <c r="D59" s="6" t="n">
        <v>-6529</v>
      </c>
      <c r="E59" s="6" t="n">
        <v>30494</v>
      </c>
      <c r="F59" s="15" t="n"/>
      <c r="G59" s="16" t="n">
        <v>373</v>
      </c>
      <c r="H59" s="16" t="n">
        <v>118.2</v>
      </c>
      <c r="I59" s="6" t="n">
        <v>85753</v>
      </c>
      <c r="J59" s="6" t="n">
        <v>13342</v>
      </c>
      <c r="K59" s="6" t="n">
        <v>1036268</v>
      </c>
      <c r="L59" s="16" t="n">
        <v>19.08</v>
      </c>
      <c r="M59" s="16" t="n">
        <v>5.65</v>
      </c>
      <c r="N59" s="16" t="n">
        <v>-17.5</v>
      </c>
    </row>
    <row r="60" ht="13" customHeight="1">
      <c r="A60" s="17" t="inlineStr">
        <is>
          <t>Jul 06 2026</t>
        </is>
      </c>
      <c r="B60" s="4" t="n">
        <v>24100</v>
      </c>
      <c r="C60" s="4" t="n">
        <v>19223</v>
      </c>
      <c r="D60" s="4" t="n">
        <v>-11102</v>
      </c>
      <c r="E60" s="4" t="n">
        <v>148247</v>
      </c>
      <c r="F60" s="17" t="n"/>
      <c r="G60" s="18" t="n">
        <v>323.95</v>
      </c>
      <c r="H60" s="18" t="n">
        <v>109.6</v>
      </c>
      <c r="I60" s="4" t="n">
        <v>162329</v>
      </c>
      <c r="J60" s="4" t="n">
        <v>40056</v>
      </c>
      <c r="K60" s="4" t="n">
        <v>1910204</v>
      </c>
      <c r="L60" s="18" t="n">
        <v>17.79</v>
      </c>
      <c r="M60" s="18" t="n">
        <v>6.75</v>
      </c>
      <c r="N60" s="18" t="n">
        <v>-24.35</v>
      </c>
    </row>
    <row r="61" ht="13" customHeight="1">
      <c r="A61" s="15" t="inlineStr">
        <is>
          <t>Jul 06 2026</t>
        </is>
      </c>
      <c r="B61" s="6" t="n">
        <v>24150</v>
      </c>
      <c r="C61" s="6" t="n">
        <v>9129</v>
      </c>
      <c r="D61" s="6" t="n">
        <v>-9466</v>
      </c>
      <c r="E61" s="6" t="n">
        <v>151096</v>
      </c>
      <c r="F61" s="15" t="n"/>
      <c r="G61" s="16" t="n">
        <v>278</v>
      </c>
      <c r="H61" s="16" t="n">
        <v>103.05</v>
      </c>
      <c r="I61" s="6" t="n">
        <v>96405</v>
      </c>
      <c r="J61" s="6" t="n">
        <v>28343</v>
      </c>
      <c r="K61" s="6" t="n">
        <v>1819941</v>
      </c>
      <c r="L61" s="16" t="n">
        <v>16.63</v>
      </c>
      <c r="M61" s="16" t="n">
        <v>8.5</v>
      </c>
      <c r="N61" s="16" t="n">
        <v>-33.3</v>
      </c>
    </row>
    <row r="62" ht="13" customHeight="1">
      <c r="A62" s="17" t="inlineStr">
        <is>
          <t>Jul 06 2026</t>
        </is>
      </c>
      <c r="B62" s="4" t="n">
        <v>24200</v>
      </c>
      <c r="C62" s="4" t="n">
        <v>27606</v>
      </c>
      <c r="D62" s="4" t="n">
        <v>-48815</v>
      </c>
      <c r="E62" s="4" t="n">
        <v>816785</v>
      </c>
      <c r="F62" s="17" t="n"/>
      <c r="G62" s="18" t="n">
        <v>229.1</v>
      </c>
      <c r="H62" s="18" t="n">
        <v>89.45</v>
      </c>
      <c r="I62" s="4" t="n">
        <v>151848</v>
      </c>
      <c r="J62" s="4" t="n">
        <v>23977</v>
      </c>
      <c r="K62" s="4" t="n">
        <v>3246076</v>
      </c>
      <c r="L62" s="18" t="n">
        <v>15.53</v>
      </c>
      <c r="M62" s="18" t="n">
        <v>11.1</v>
      </c>
      <c r="N62" s="18" t="n">
        <v>-45.15</v>
      </c>
    </row>
    <row r="63" ht="13" customHeight="1">
      <c r="A63" s="15" t="inlineStr">
        <is>
          <t>Jul 06 2026</t>
        </is>
      </c>
      <c r="B63" s="6" t="n">
        <v>24250</v>
      </c>
      <c r="C63" s="6" t="n">
        <v>9538</v>
      </c>
      <c r="D63" s="6" t="n">
        <v>-36037</v>
      </c>
      <c r="E63" s="6" t="n">
        <v>918972</v>
      </c>
      <c r="F63" s="15" t="n"/>
      <c r="G63" s="16" t="n">
        <v>183.15</v>
      </c>
      <c r="H63" s="16" t="n">
        <v>74.34999999999999</v>
      </c>
      <c r="I63" s="6" t="n">
        <v>93722</v>
      </c>
      <c r="J63" s="6" t="n">
        <v>41283</v>
      </c>
      <c r="K63" s="6" t="n">
        <v>2576231</v>
      </c>
      <c r="L63" s="16" t="n">
        <v>14.44</v>
      </c>
      <c r="M63" s="16" t="n">
        <v>14.85</v>
      </c>
      <c r="N63" s="16" t="n">
        <v>-60.75</v>
      </c>
    </row>
    <row r="64" ht="13" customHeight="1">
      <c r="A64" s="17" t="inlineStr">
        <is>
          <t>Jul 06 2026</t>
        </is>
      </c>
      <c r="B64" s="4" t="n">
        <v>24300</v>
      </c>
      <c r="C64" s="4" t="n">
        <v>45947</v>
      </c>
      <c r="D64" s="4" t="n">
        <v>-121326</v>
      </c>
      <c r="E64" s="4" t="n">
        <v>3455327</v>
      </c>
      <c r="F64" s="18" t="n">
        <v>7.7</v>
      </c>
      <c r="G64" s="18" t="n">
        <v>140.65</v>
      </c>
      <c r="H64" s="18" t="n">
        <v>58.7</v>
      </c>
      <c r="I64" s="4" t="n">
        <v>212702</v>
      </c>
      <c r="J64" s="4" t="n">
        <v>116717</v>
      </c>
      <c r="K64" s="4" t="n">
        <v>5904827</v>
      </c>
      <c r="L64" s="18" t="n">
        <v>13.72</v>
      </c>
      <c r="M64" s="18" t="n">
        <v>21.65</v>
      </c>
      <c r="N64" s="18" t="n">
        <v>-76.7</v>
      </c>
    </row>
    <row r="65" ht="13" customHeight="1">
      <c r="A65" s="15" t="inlineStr">
        <is>
          <t>Jul 06 2026</t>
        </is>
      </c>
      <c r="B65" s="6" t="n">
        <v>24350</v>
      </c>
      <c r="C65" s="6" t="n">
        <v>51379</v>
      </c>
      <c r="D65" s="6" t="n">
        <v>-64721</v>
      </c>
      <c r="E65" s="6" t="n">
        <v>4521937</v>
      </c>
      <c r="F65" s="16" t="n">
        <v>8.9</v>
      </c>
      <c r="G65" s="16" t="n">
        <v>101.5</v>
      </c>
      <c r="H65" s="16" t="n">
        <v>42.1</v>
      </c>
      <c r="I65" s="6" t="n">
        <v>164218</v>
      </c>
      <c r="J65" s="6" t="n">
        <v>129899</v>
      </c>
      <c r="K65" s="6" t="n">
        <v>5505626</v>
      </c>
      <c r="L65" s="16" t="n">
        <v>13.19</v>
      </c>
      <c r="M65" s="16" t="n">
        <v>32.45</v>
      </c>
      <c r="N65" s="16" t="n">
        <v>-93.95</v>
      </c>
    </row>
    <row r="66" ht="13" customHeight="1">
      <c r="A66" s="17" t="inlineStr">
        <is>
          <t>Jul 06 2026</t>
        </is>
      </c>
      <c r="B66" s="4" t="n">
        <v>24400</v>
      </c>
      <c r="C66" s="4" t="n">
        <v>161993</v>
      </c>
      <c r="D66" s="4" t="n">
        <v>-13002</v>
      </c>
      <c r="E66" s="4" t="n">
        <v>9647320</v>
      </c>
      <c r="F66" s="18" t="n">
        <v>9.460000000000001</v>
      </c>
      <c r="G66" s="18" t="n">
        <v>69</v>
      </c>
      <c r="H66" s="18" t="n">
        <v>27.4</v>
      </c>
      <c r="I66" s="4" t="n">
        <v>212307</v>
      </c>
      <c r="J66" s="4" t="n">
        <v>186605</v>
      </c>
      <c r="K66" s="4" t="n">
        <v>8519580</v>
      </c>
      <c r="L66" s="18" t="n">
        <v>13</v>
      </c>
      <c r="M66" s="18" t="n">
        <v>49.4</v>
      </c>
      <c r="N66" s="18" t="n">
        <v>-109.25</v>
      </c>
    </row>
    <row r="67" ht="13" customHeight="1">
      <c r="A67" s="15" t="inlineStr">
        <is>
          <t>Jul 06 2026</t>
        </is>
      </c>
      <c r="B67" s="6" t="n">
        <v>24450</v>
      </c>
      <c r="C67" s="6" t="n">
        <v>129534</v>
      </c>
      <c r="D67" s="6" t="n">
        <v>69991</v>
      </c>
      <c r="E67" s="6" t="n">
        <v>7457386</v>
      </c>
      <c r="F67" s="16" t="n">
        <v>9.98</v>
      </c>
      <c r="G67" s="16" t="n">
        <v>44.7</v>
      </c>
      <c r="H67" s="16" t="n">
        <v>16.15</v>
      </c>
      <c r="I67" s="6" t="n">
        <v>75617</v>
      </c>
      <c r="J67" s="6" t="n">
        <v>70277</v>
      </c>
      <c r="K67" s="6" t="n">
        <v>3918625</v>
      </c>
      <c r="L67" s="16" t="n">
        <v>13.3</v>
      </c>
      <c r="M67" s="16" t="n">
        <v>74.55</v>
      </c>
      <c r="N67" s="16" t="n">
        <v>-120.8</v>
      </c>
    </row>
    <row r="68" ht="13" customHeight="1">
      <c r="A68" s="17" t="inlineStr">
        <is>
          <t>Jul 06 2026</t>
        </is>
      </c>
      <c r="B68" s="4" t="n">
        <v>24500</v>
      </c>
      <c r="C68" s="4" t="n">
        <v>204247</v>
      </c>
      <c r="D68" s="4" t="n">
        <v>28708</v>
      </c>
      <c r="E68" s="4" t="n">
        <v>7938382</v>
      </c>
      <c r="F68" s="18" t="n">
        <v>10.22</v>
      </c>
      <c r="G68" s="18" t="n">
        <v>26.65</v>
      </c>
      <c r="H68" s="18" t="n">
        <v>7.3</v>
      </c>
      <c r="I68" s="4" t="n">
        <v>52122</v>
      </c>
      <c r="J68" s="4" t="n">
        <v>31115</v>
      </c>
      <c r="K68" s="4" t="n">
        <v>2692543</v>
      </c>
      <c r="L68" s="18" t="n">
        <v>13.93</v>
      </c>
      <c r="M68" s="18" t="n">
        <v>107</v>
      </c>
      <c r="N68" s="18" t="n">
        <v>-129.05</v>
      </c>
    </row>
    <row r="69" ht="13" customHeight="1">
      <c r="A69" s="15" t="inlineStr">
        <is>
          <t>Jul 06 2026</t>
        </is>
      </c>
      <c r="B69" s="6" t="n">
        <v>24550</v>
      </c>
      <c r="C69" s="6" t="n">
        <v>85993</v>
      </c>
      <c r="D69" s="6" t="n">
        <v>17215</v>
      </c>
      <c r="E69" s="6" t="n">
        <v>3882128</v>
      </c>
      <c r="F69" s="16" t="n">
        <v>10.54</v>
      </c>
      <c r="G69" s="16" t="n">
        <v>15.25</v>
      </c>
      <c r="H69" s="16" t="n">
        <v>2.65</v>
      </c>
      <c r="I69" s="6" t="n">
        <v>6439</v>
      </c>
      <c r="J69" s="6" t="n">
        <v>4151</v>
      </c>
      <c r="K69" s="6" t="n">
        <v>526448</v>
      </c>
      <c r="L69" s="16" t="n">
        <v>14.89</v>
      </c>
      <c r="M69" s="16" t="n">
        <v>145.55</v>
      </c>
      <c r="N69" s="16" t="n">
        <v>-133.8</v>
      </c>
    </row>
    <row r="70" ht="13" customHeight="1">
      <c r="A70" s="17" t="inlineStr">
        <is>
          <t>Jul 06 2026</t>
        </is>
      </c>
      <c r="B70" s="4" t="n">
        <v>24600</v>
      </c>
      <c r="C70" s="4" t="n">
        <v>162009</v>
      </c>
      <c r="D70" s="4" t="n">
        <v>27510</v>
      </c>
      <c r="E70" s="4" t="n">
        <v>4856300</v>
      </c>
      <c r="F70" s="18" t="n">
        <v>10.89</v>
      </c>
      <c r="G70" s="18" t="n">
        <v>8.4</v>
      </c>
      <c r="H70" s="18" t="n">
        <v>-0.05</v>
      </c>
      <c r="I70" s="4" t="n">
        <v>12109</v>
      </c>
      <c r="J70" s="4" t="n">
        <v>8009</v>
      </c>
      <c r="K70" s="4" t="n">
        <v>508043</v>
      </c>
      <c r="L70" s="18" t="n">
        <v>16.05</v>
      </c>
      <c r="M70" s="18" t="n">
        <v>188.05</v>
      </c>
      <c r="N70" s="18" t="n">
        <v>-136.5</v>
      </c>
    </row>
    <row r="71" ht="13" customHeight="1">
      <c r="A71" s="15" t="inlineStr">
        <is>
          <t>Jul 06 2026</t>
        </is>
      </c>
      <c r="B71" s="6" t="n">
        <v>24650</v>
      </c>
      <c r="C71" s="6" t="n">
        <v>117025</v>
      </c>
      <c r="D71" s="6" t="n">
        <v>52346</v>
      </c>
      <c r="E71" s="6" t="n">
        <v>3384613</v>
      </c>
      <c r="F71" s="16" t="n">
        <v>11.22</v>
      </c>
      <c r="G71" s="16" t="n">
        <v>4.45</v>
      </c>
      <c r="H71" s="16" t="n">
        <v>-1.45</v>
      </c>
      <c r="I71" s="6" t="n">
        <v>1593</v>
      </c>
      <c r="J71" s="6" t="n">
        <v>972</v>
      </c>
      <c r="K71" s="6" t="n">
        <v>88344</v>
      </c>
      <c r="L71" s="16" t="n">
        <v>18.29</v>
      </c>
      <c r="M71" s="16" t="n">
        <v>236.2</v>
      </c>
      <c r="N71" s="16" t="n">
        <v>-136.9</v>
      </c>
    </row>
    <row r="72" ht="13" customHeight="1">
      <c r="A72" s="17" t="inlineStr">
        <is>
          <t>Jul 06 2026</t>
        </is>
      </c>
      <c r="B72" s="4" t="n">
        <v>24700</v>
      </c>
      <c r="C72" s="4" t="n">
        <v>150628</v>
      </c>
      <c r="D72" s="4" t="n">
        <v>36823</v>
      </c>
      <c r="E72" s="4" t="n">
        <v>3398779</v>
      </c>
      <c r="F72" s="18" t="n">
        <v>12.01</v>
      </c>
      <c r="G72" s="18" t="n">
        <v>2.8</v>
      </c>
      <c r="H72" s="18" t="n">
        <v>-1.8</v>
      </c>
      <c r="I72" s="4" t="n">
        <v>2535</v>
      </c>
      <c r="J72" s="4" t="n">
        <v>1295</v>
      </c>
      <c r="K72" s="4" t="n">
        <v>89749</v>
      </c>
      <c r="L72" s="18" t="n">
        <v>20.34</v>
      </c>
      <c r="M72" s="18" t="n">
        <v>284.45</v>
      </c>
      <c r="N72" s="18" t="n">
        <v>-136.4</v>
      </c>
    </row>
    <row r="73" ht="13" customHeight="1">
      <c r="A73" s="15" t="inlineStr">
        <is>
          <t>Jul 06 2026</t>
        </is>
      </c>
      <c r="B73" s="6" t="n">
        <v>24750</v>
      </c>
      <c r="C73" s="6" t="n">
        <v>55054</v>
      </c>
      <c r="D73" s="6" t="n">
        <v>-1977</v>
      </c>
      <c r="E73" s="6" t="n">
        <v>2145209</v>
      </c>
      <c r="F73" s="16" t="n">
        <v>12.52</v>
      </c>
      <c r="G73" s="16" t="n">
        <v>1.6</v>
      </c>
      <c r="H73" s="16" t="n">
        <v>-2.1</v>
      </c>
      <c r="I73" s="6" t="n">
        <v>672</v>
      </c>
      <c r="J73" s="6" t="n">
        <v>291</v>
      </c>
      <c r="K73" s="6" t="n">
        <v>10901</v>
      </c>
      <c r="L73" s="16" t="n">
        <v>21.64</v>
      </c>
      <c r="M73" s="16" t="n">
        <v>331.1</v>
      </c>
      <c r="N73" s="16" t="n">
        <v>-139.5</v>
      </c>
    </row>
    <row r="74" ht="13" customHeight="1">
      <c r="A74" s="17" t="inlineStr">
        <is>
          <t>Jul 06 2026</t>
        </is>
      </c>
      <c r="B74" s="4" t="n">
        <v>24800</v>
      </c>
      <c r="C74" s="4" t="n">
        <v>94052</v>
      </c>
      <c r="D74" s="4" t="n">
        <v>-19310</v>
      </c>
      <c r="E74" s="4" t="n">
        <v>2013379</v>
      </c>
      <c r="F74" s="18" t="n">
        <v>13.8</v>
      </c>
      <c r="G74" s="18" t="n">
        <v>1.35</v>
      </c>
      <c r="H74" s="18" t="n">
        <v>-1.8</v>
      </c>
      <c r="I74" s="4" t="n">
        <v>1673</v>
      </c>
      <c r="J74" s="4" t="n">
        <v>826</v>
      </c>
      <c r="K74" s="4" t="n">
        <v>20690</v>
      </c>
      <c r="L74" s="18" t="n">
        <v>24</v>
      </c>
      <c r="M74" s="18" t="n">
        <v>381.15</v>
      </c>
      <c r="N74" s="18" t="n">
        <v>-137.35</v>
      </c>
    </row>
    <row r="75" ht="13" customHeight="1">
      <c r="A75" s="15" t="inlineStr">
        <is>
          <t>Jul 06 2026</t>
        </is>
      </c>
      <c r="B75" s="6" t="n">
        <v>24850</v>
      </c>
      <c r="C75" s="6" t="n">
        <v>35701</v>
      </c>
      <c r="D75" s="6" t="n">
        <v>-465</v>
      </c>
      <c r="E75" s="6" t="n">
        <v>684793</v>
      </c>
      <c r="F75" s="16" t="n">
        <v>15.02</v>
      </c>
      <c r="G75" s="16" t="n">
        <v>1.15</v>
      </c>
      <c r="H75" s="16" t="n">
        <v>-1.55</v>
      </c>
      <c r="I75" s="6" t="n">
        <v>340</v>
      </c>
      <c r="J75" s="6" t="n">
        <v>191</v>
      </c>
      <c r="K75" s="6" t="n">
        <v>3929</v>
      </c>
      <c r="L75" s="16" t="n">
        <v>26.6</v>
      </c>
      <c r="M75" s="16" t="n">
        <v>431.95</v>
      </c>
      <c r="N75" s="16" t="n">
        <v>-139.6</v>
      </c>
    </row>
    <row r="76" ht="13" customHeight="1">
      <c r="A76" s="17" t="inlineStr">
        <is>
          <t>Jul 06 2026</t>
        </is>
      </c>
      <c r="B76" s="4" t="n">
        <v>24900</v>
      </c>
      <c r="C76" s="4" t="n">
        <v>49398</v>
      </c>
      <c r="D76" s="4" t="n">
        <v>-19186</v>
      </c>
      <c r="E76" s="4" t="n">
        <v>705575</v>
      </c>
      <c r="F76" s="18" t="n">
        <v>15.76</v>
      </c>
      <c r="G76" s="18" t="n">
        <v>0.8</v>
      </c>
      <c r="H76" s="18" t="n">
        <v>-1.45</v>
      </c>
      <c r="I76" s="4" t="n">
        <v>457</v>
      </c>
      <c r="J76" s="4" t="n">
        <v>83</v>
      </c>
      <c r="K76" s="4" t="n">
        <v>2986</v>
      </c>
      <c r="L76" s="18" t="n">
        <v>29.29</v>
      </c>
      <c r="M76" s="18" t="n">
        <v>483</v>
      </c>
      <c r="N76" s="18" t="n">
        <v>-134.75</v>
      </c>
    </row>
    <row r="77" ht="13" customHeight="1">
      <c r="A77" s="15" t="inlineStr">
        <is>
          <t>Jul 06 2026</t>
        </is>
      </c>
      <c r="B77" s="6" t="n">
        <v>24950</v>
      </c>
      <c r="C77" s="6" t="n">
        <v>23777</v>
      </c>
      <c r="D77" s="6" t="n">
        <v>-4608</v>
      </c>
      <c r="E77" s="6" t="n">
        <v>285346</v>
      </c>
      <c r="F77" s="16" t="n">
        <v>17.07</v>
      </c>
      <c r="G77" s="16" t="n">
        <v>0.75</v>
      </c>
      <c r="H77" s="16" t="n">
        <v>-1.3</v>
      </c>
      <c r="I77" s="6" t="n">
        <v>124</v>
      </c>
      <c r="J77" s="6" t="n">
        <v>86</v>
      </c>
      <c r="K77" s="6" t="n">
        <v>577</v>
      </c>
      <c r="L77" s="16" t="n">
        <v>32.61</v>
      </c>
      <c r="M77" s="16" t="n">
        <v>535.65</v>
      </c>
      <c r="N77" s="16" t="n">
        <v>-135.7</v>
      </c>
    </row>
    <row r="78" ht="13" customHeight="1">
      <c r="A78" s="17" t="inlineStr">
        <is>
          <t>Jul 06 2026</t>
        </is>
      </c>
      <c r="B78" s="4" t="n">
        <v>25000</v>
      </c>
      <c r="C78" s="4" t="n">
        <v>129811</v>
      </c>
      <c r="D78" s="4" t="n">
        <v>-55904</v>
      </c>
      <c r="E78" s="4" t="n">
        <v>1354053</v>
      </c>
      <c r="F78" s="18" t="n">
        <v>18.5</v>
      </c>
      <c r="G78" s="18" t="n">
        <v>0.75</v>
      </c>
      <c r="H78" s="18" t="n">
        <v>-1.15</v>
      </c>
      <c r="I78" s="4" t="n">
        <v>4135</v>
      </c>
      <c r="J78" s="4" t="n">
        <v>-3773</v>
      </c>
      <c r="K78" s="4" t="n">
        <v>10004</v>
      </c>
      <c r="L78" s="18" t="n">
        <v>32.28</v>
      </c>
      <c r="M78" s="18" t="n">
        <v>579.95</v>
      </c>
      <c r="N78" s="18" t="n">
        <v>-136.4</v>
      </c>
    </row>
    <row r="79" ht="13" customHeight="1">
      <c r="A79" s="15" t="inlineStr">
        <is>
          <t>Jul 06 2026</t>
        </is>
      </c>
      <c r="B79" s="6" t="n">
        <v>25050</v>
      </c>
      <c r="C79" s="6" t="n">
        <v>12850</v>
      </c>
      <c r="D79" s="6" t="n">
        <v>-6350</v>
      </c>
      <c r="E79" s="6" t="n">
        <v>176554</v>
      </c>
      <c r="F79" s="16" t="n">
        <v>19.56</v>
      </c>
      <c r="G79" s="16" t="n">
        <v>0.65</v>
      </c>
      <c r="H79" s="16" t="n">
        <v>-0.95</v>
      </c>
      <c r="I79" s="6" t="n">
        <v>54</v>
      </c>
      <c r="J79" s="6" t="n">
        <v>21</v>
      </c>
      <c r="K79" s="6" t="n">
        <v>210</v>
      </c>
      <c r="L79" s="16" t="n">
        <v>35.15</v>
      </c>
      <c r="M79" s="16" t="n">
        <v>631.55</v>
      </c>
      <c r="N79" s="16" t="n">
        <v>-135.7</v>
      </c>
    </row>
    <row r="80" ht="13" customHeight="1">
      <c r="A80" s="17" t="inlineStr">
        <is>
          <t>Jul 06 2026</t>
        </is>
      </c>
      <c r="B80" s="4" t="n">
        <v>25100</v>
      </c>
      <c r="C80" s="4" t="n">
        <v>53337</v>
      </c>
      <c r="D80" s="4" t="n">
        <v>-19442</v>
      </c>
      <c r="E80" s="4" t="n">
        <v>641915</v>
      </c>
      <c r="F80" s="18" t="n">
        <v>20.75</v>
      </c>
      <c r="G80" s="18" t="n">
        <v>0.6</v>
      </c>
      <c r="H80" s="18" t="n">
        <v>-0.85</v>
      </c>
      <c r="I80" s="4" t="n">
        <v>118</v>
      </c>
      <c r="J80" s="4" t="n">
        <v>10</v>
      </c>
      <c r="K80" s="4" t="n">
        <v>380</v>
      </c>
      <c r="L80" s="18" t="n">
        <v>36.84</v>
      </c>
      <c r="M80" s="18" t="n">
        <v>680.75</v>
      </c>
      <c r="N80" s="18" t="n">
        <v>-138.15</v>
      </c>
    </row>
    <row r="81" ht="13" customHeight="1">
      <c r="A81" s="15" t="inlineStr">
        <is>
          <t>Jul 06 2026</t>
        </is>
      </c>
      <c r="B81" s="6" t="n">
        <v>25150</v>
      </c>
      <c r="C81" s="6" t="n">
        <v>11281</v>
      </c>
      <c r="D81" s="6" t="n">
        <v>-1465</v>
      </c>
      <c r="E81" s="6" t="n">
        <v>168408</v>
      </c>
      <c r="F81" s="16" t="n">
        <v>22.1</v>
      </c>
      <c r="G81" s="16" t="n">
        <v>0.6</v>
      </c>
      <c r="H81" s="16" t="n">
        <v>-0.75</v>
      </c>
      <c r="I81" s="6" t="n">
        <v>26</v>
      </c>
      <c r="J81" s="6" t="n">
        <v>8</v>
      </c>
      <c r="K81" s="6" t="n">
        <v>57</v>
      </c>
      <c r="L81" s="16" t="n">
        <v>39.51</v>
      </c>
      <c r="M81" s="16" t="n">
        <v>731.95</v>
      </c>
      <c r="N81" s="16" t="n">
        <v>-141.65</v>
      </c>
    </row>
    <row r="82" ht="13" customHeight="1">
      <c r="A82" s="17" t="inlineStr">
        <is>
          <t>Jul 06 2026</t>
        </is>
      </c>
      <c r="B82" s="4" t="n">
        <v>25200</v>
      </c>
      <c r="C82" s="4" t="n">
        <v>62052</v>
      </c>
      <c r="D82" s="4" t="n">
        <v>-5943</v>
      </c>
      <c r="E82" s="4" t="n">
        <v>403607</v>
      </c>
      <c r="F82" s="18" t="n">
        <v>23.21</v>
      </c>
      <c r="G82" s="18" t="n">
        <v>0.55</v>
      </c>
      <c r="H82" s="18" t="n">
        <v>-0.65</v>
      </c>
      <c r="I82" s="4" t="n">
        <v>137</v>
      </c>
      <c r="J82" s="4" t="n">
        <v>-22</v>
      </c>
      <c r="K82" s="4" t="n">
        <v>351</v>
      </c>
      <c r="L82" s="18" t="n">
        <v>40.64</v>
      </c>
      <c r="M82" s="18" t="n">
        <v>780.25</v>
      </c>
      <c r="N82" s="18" t="n">
        <v>-138.8</v>
      </c>
    </row>
    <row r="83" ht="13" customHeight="1">
      <c r="A83" s="15" t="inlineStr">
        <is>
          <t>Jul 06 2026</t>
        </is>
      </c>
      <c r="B83" s="6" t="n">
        <v>25250</v>
      </c>
      <c r="C83" s="6" t="n">
        <v>8375</v>
      </c>
      <c r="D83" s="6" t="n">
        <v>-5386</v>
      </c>
      <c r="E83" s="6" t="n">
        <v>117718</v>
      </c>
      <c r="F83" s="16" t="n">
        <v>24.54</v>
      </c>
      <c r="G83" s="16" t="n">
        <v>0.55</v>
      </c>
      <c r="H83" s="16" t="n">
        <v>-0.55</v>
      </c>
      <c r="I83" s="6" t="n">
        <v>3</v>
      </c>
      <c r="J83" s="6" t="n">
        <v>0</v>
      </c>
      <c r="K83" s="6" t="n">
        <v>0</v>
      </c>
      <c r="L83" s="15" t="n"/>
      <c r="M83" s="16" t="n">
        <v>954</v>
      </c>
      <c r="N83" s="15" t="n"/>
    </row>
    <row r="84" ht="13" customHeight="1">
      <c r="A84" s="17" t="inlineStr">
        <is>
          <t>Jul 06 2026</t>
        </is>
      </c>
      <c r="B84" s="4" t="n">
        <v>25300</v>
      </c>
      <c r="C84" s="4" t="n">
        <v>36820</v>
      </c>
      <c r="D84" s="4" t="n">
        <v>-4179</v>
      </c>
      <c r="E84" s="4" t="n">
        <v>301116</v>
      </c>
      <c r="F84" s="18" t="n">
        <v>25.85</v>
      </c>
      <c r="G84" s="18" t="n">
        <v>0.55</v>
      </c>
      <c r="H84" s="18" t="n">
        <v>-0.45</v>
      </c>
      <c r="I84" s="4" t="n">
        <v>29</v>
      </c>
      <c r="J84" s="4" t="n">
        <v>-15</v>
      </c>
      <c r="K84" s="4" t="n">
        <v>166</v>
      </c>
      <c r="L84" s="18" t="n">
        <v>45.59</v>
      </c>
      <c r="M84" s="18" t="n">
        <v>882</v>
      </c>
      <c r="N84" s="18" t="n">
        <v>-135.95</v>
      </c>
    </row>
    <row r="85" ht="13" customHeight="1">
      <c r="A85" s="15" t="inlineStr">
        <is>
          <t>Jul 06 2026</t>
        </is>
      </c>
      <c r="B85" s="6" t="n">
        <v>25350</v>
      </c>
      <c r="C85" s="6" t="n">
        <v>12569</v>
      </c>
      <c r="D85" s="6" t="n">
        <v>3431</v>
      </c>
      <c r="E85" s="6" t="n">
        <v>126584</v>
      </c>
      <c r="F85" s="16" t="n">
        <v>27.15</v>
      </c>
      <c r="G85" s="16" t="n">
        <v>0.55</v>
      </c>
      <c r="H85" s="16" t="n">
        <v>-0.4</v>
      </c>
      <c r="I85" s="6" t="n">
        <v>8</v>
      </c>
      <c r="J85" s="6" t="n">
        <v>0</v>
      </c>
      <c r="K85" s="6" t="n">
        <v>0</v>
      </c>
      <c r="L85" s="16" t="n">
        <v>25.13</v>
      </c>
      <c r="M85" s="16" t="n">
        <v>1375.95</v>
      </c>
      <c r="N85" s="15" t="n"/>
    </row>
    <row r="86" ht="13" customHeight="1">
      <c r="A86" s="17" t="inlineStr">
        <is>
          <t>Jul 06 2026</t>
        </is>
      </c>
      <c r="B86" s="4" t="n">
        <v>25400</v>
      </c>
      <c r="C86" s="4" t="n">
        <v>30620</v>
      </c>
      <c r="D86" s="4" t="n">
        <v>-3664</v>
      </c>
      <c r="E86" s="4" t="n">
        <v>217965</v>
      </c>
      <c r="F86" s="18" t="n">
        <v>27.84</v>
      </c>
      <c r="G86" s="18" t="n">
        <v>0.45</v>
      </c>
      <c r="H86" s="18" t="n">
        <v>-0.45</v>
      </c>
      <c r="I86" s="4" t="n">
        <v>27</v>
      </c>
      <c r="J86" s="4" t="n">
        <v>-1</v>
      </c>
      <c r="K86" s="4" t="n">
        <v>12</v>
      </c>
      <c r="L86" s="18" t="n">
        <v>42.98</v>
      </c>
      <c r="M86" s="18" t="n">
        <v>972.5</v>
      </c>
      <c r="N86" s="18" t="n">
        <v>-127.95</v>
      </c>
    </row>
    <row r="87" ht="13" customHeight="1">
      <c r="A87" s="15" t="inlineStr">
        <is>
          <t>Jul 06 2026</t>
        </is>
      </c>
      <c r="B87" s="6" t="n">
        <v>25450</v>
      </c>
      <c r="C87" s="6" t="n">
        <v>7376</v>
      </c>
      <c r="D87" s="6" t="n">
        <v>-2196</v>
      </c>
      <c r="E87" s="6" t="n">
        <v>62028</v>
      </c>
      <c r="F87" s="16" t="n">
        <v>29.73</v>
      </c>
      <c r="G87" s="16" t="n">
        <v>0.55</v>
      </c>
      <c r="H87" s="16" t="n">
        <v>-0.25</v>
      </c>
      <c r="I87" s="6" t="n">
        <v>2</v>
      </c>
      <c r="J87" s="6" t="n">
        <v>0</v>
      </c>
      <c r="K87" s="6" t="n">
        <v>0</v>
      </c>
      <c r="L87" s="16" t="n">
        <v>28.19</v>
      </c>
      <c r="M87" s="16" t="n">
        <v>1259.7</v>
      </c>
      <c r="N87" s="15" t="n"/>
    </row>
    <row r="88" ht="13" customHeight="1">
      <c r="A88" s="17" t="inlineStr">
        <is>
          <t>Jul 06 2026</t>
        </is>
      </c>
      <c r="B88" s="4" t="n">
        <v>25500</v>
      </c>
      <c r="C88" s="4" t="n">
        <v>102744</v>
      </c>
      <c r="D88" s="4" t="n">
        <v>-31894</v>
      </c>
      <c r="E88" s="4" t="n">
        <v>442694</v>
      </c>
      <c r="F88" s="18" t="n">
        <v>31.01</v>
      </c>
      <c r="G88" s="18" t="n">
        <v>0.55</v>
      </c>
      <c r="H88" s="18" t="n">
        <v>-0.3</v>
      </c>
      <c r="I88" s="4" t="n">
        <v>1078</v>
      </c>
      <c r="J88" s="4" t="n">
        <v>-651</v>
      </c>
      <c r="K88" s="4" t="n">
        <v>989</v>
      </c>
      <c r="L88" s="18" t="n">
        <v>54.25</v>
      </c>
      <c r="M88" s="18" t="n">
        <v>1083.45</v>
      </c>
      <c r="N88" s="18" t="n">
        <v>-137.3</v>
      </c>
    </row>
    <row r="89" ht="13" customHeight="1">
      <c r="A89" s="15" t="inlineStr">
        <is>
          <t>Jul 06 2026</t>
        </is>
      </c>
      <c r="B89" s="6" t="n">
        <v>25550</v>
      </c>
      <c r="C89" s="6" t="n">
        <v>4528</v>
      </c>
      <c r="D89" s="6" t="n">
        <v>-712</v>
      </c>
      <c r="E89" s="6" t="n">
        <v>28497</v>
      </c>
      <c r="F89" s="16" t="n">
        <v>31.96</v>
      </c>
      <c r="G89" s="16" t="n">
        <v>0.5</v>
      </c>
      <c r="H89" s="16" t="n">
        <v>-0.25</v>
      </c>
      <c r="I89" s="6" t="n">
        <v>6</v>
      </c>
      <c r="J89" s="6" t="n">
        <v>0</v>
      </c>
      <c r="K89" s="6" t="n">
        <v>0</v>
      </c>
      <c r="L89" s="16" t="n">
        <v>28.91</v>
      </c>
      <c r="M89" s="16" t="n">
        <v>1357.3</v>
      </c>
      <c r="N89" s="15" t="n"/>
    </row>
    <row r="90" ht="13" customHeight="1">
      <c r="A90" s="17" t="inlineStr">
        <is>
          <t>Jul 06 2026</t>
        </is>
      </c>
      <c r="B90" s="4" t="n">
        <v>25600</v>
      </c>
      <c r="C90" s="4" t="n">
        <v>24848</v>
      </c>
      <c r="D90" s="4" t="n">
        <v>-23975</v>
      </c>
      <c r="E90" s="4" t="n">
        <v>174441</v>
      </c>
      <c r="F90" s="18" t="n">
        <v>32.46</v>
      </c>
      <c r="G90" s="18" t="n">
        <v>0.4</v>
      </c>
      <c r="H90" s="18" t="n">
        <v>-0.4</v>
      </c>
      <c r="I90" s="4" t="n">
        <v>8</v>
      </c>
      <c r="J90" s="4" t="n">
        <v>0</v>
      </c>
      <c r="K90" s="4" t="n">
        <v>0</v>
      </c>
      <c r="L90" s="17" t="n"/>
      <c r="M90" s="18" t="n">
        <v>1320</v>
      </c>
      <c r="N90" s="17" t="n"/>
    </row>
    <row r="91" ht="13" customHeight="1">
      <c r="A91" s="15" t="inlineStr">
        <is>
          <t>Jul 06 2026</t>
        </is>
      </c>
      <c r="B91" s="6" t="n">
        <v>25650</v>
      </c>
      <c r="C91" s="6" t="n">
        <v>8186</v>
      </c>
      <c r="D91" s="6" t="n">
        <v>-12546</v>
      </c>
      <c r="E91" s="6" t="n">
        <v>92321</v>
      </c>
      <c r="F91" s="16" t="n">
        <v>33.69</v>
      </c>
      <c r="G91" s="16" t="n">
        <v>0.4</v>
      </c>
      <c r="H91" s="16" t="n">
        <v>-0.3</v>
      </c>
      <c r="I91" s="6" t="n">
        <v>8</v>
      </c>
      <c r="J91" s="6" t="n">
        <v>0</v>
      </c>
      <c r="K91" s="6" t="n">
        <v>0</v>
      </c>
      <c r="L91" s="16" t="n">
        <v>27.61</v>
      </c>
      <c r="M91" s="16" t="n">
        <v>1670</v>
      </c>
      <c r="N91" s="15" t="n"/>
    </row>
    <row r="92" ht="13" customHeight="1">
      <c r="A92" s="17" t="inlineStr">
        <is>
          <t>Jul 06 2026</t>
        </is>
      </c>
      <c r="B92" s="4" t="n">
        <v>25700</v>
      </c>
      <c r="C92" s="4" t="n">
        <v>9855</v>
      </c>
      <c r="D92" s="4" t="n">
        <v>-29461</v>
      </c>
      <c r="E92" s="4" t="n">
        <v>141976</v>
      </c>
      <c r="F92" s="18" t="n">
        <v>34.45</v>
      </c>
      <c r="G92" s="18" t="n">
        <v>0.35</v>
      </c>
      <c r="H92" s="18" t="n">
        <v>-0.3</v>
      </c>
      <c r="I92" s="4" t="n">
        <v>8</v>
      </c>
      <c r="J92" s="4" t="n">
        <v>0</v>
      </c>
      <c r="K92" s="4" t="n">
        <v>3</v>
      </c>
      <c r="L92" s="18" t="n">
        <v>61.9</v>
      </c>
      <c r="M92" s="18" t="n">
        <v>1283.55</v>
      </c>
      <c r="N92" s="18" t="n">
        <v>-392.8</v>
      </c>
    </row>
    <row r="93" ht="13" customHeight="1">
      <c r="A93" s="15" t="inlineStr">
        <is>
          <t>Jul 06 2026</t>
        </is>
      </c>
      <c r="B93" s="6" t="n">
        <v>25750</v>
      </c>
      <c r="C93" s="6" t="n">
        <v>2692</v>
      </c>
      <c r="D93" s="6" t="n">
        <v>-1425</v>
      </c>
      <c r="E93" s="6" t="n">
        <v>17768</v>
      </c>
      <c r="F93" s="16" t="n">
        <v>35.64</v>
      </c>
      <c r="G93" s="16" t="n">
        <v>0.35</v>
      </c>
      <c r="H93" s="16" t="n">
        <v>-0.25</v>
      </c>
      <c r="I93" s="6" t="n">
        <v>0</v>
      </c>
      <c r="J93" s="6" t="n">
        <v>0</v>
      </c>
      <c r="K93" s="6" t="n">
        <v>0</v>
      </c>
      <c r="L93" s="15" t="n"/>
      <c r="M93" s="15" t="n"/>
      <c r="N93" s="15" t="n"/>
    </row>
    <row r="94" ht="13" customHeight="1">
      <c r="A94" s="17" t="inlineStr">
        <is>
          <t>Jul 06 2026</t>
        </is>
      </c>
      <c r="B94" s="4" t="n">
        <v>25800</v>
      </c>
      <c r="C94" s="4" t="n">
        <v>12618</v>
      </c>
      <c r="D94" s="4" t="n">
        <v>-29913</v>
      </c>
      <c r="E94" s="4" t="n">
        <v>116423</v>
      </c>
      <c r="F94" s="18" t="n">
        <v>36.83</v>
      </c>
      <c r="G94" s="18" t="n">
        <v>0.35</v>
      </c>
      <c r="H94" s="18" t="n">
        <v>-0.2</v>
      </c>
      <c r="I94" s="4" t="n">
        <v>30</v>
      </c>
      <c r="J94" s="4" t="n">
        <v>-12</v>
      </c>
      <c r="K94" s="4" t="n">
        <v>24</v>
      </c>
      <c r="L94" s="18" t="n">
        <v>72.90000000000001</v>
      </c>
      <c r="M94" s="18" t="n">
        <v>1396</v>
      </c>
      <c r="N94" s="18" t="n">
        <v>-120.2</v>
      </c>
    </row>
    <row r="95" ht="13" customHeight="1">
      <c r="A95" s="15" t="inlineStr">
        <is>
          <t>Jul 06 2026</t>
        </is>
      </c>
      <c r="B95" s="6" t="n">
        <v>25850</v>
      </c>
      <c r="C95" s="6" t="n">
        <v>2402</v>
      </c>
      <c r="D95" s="6" t="n">
        <v>-2729</v>
      </c>
      <c r="E95" s="6" t="n">
        <v>19927</v>
      </c>
      <c r="F95" s="16" t="n">
        <v>37.47</v>
      </c>
      <c r="G95" s="16" t="n">
        <v>0.3</v>
      </c>
      <c r="H95" s="16" t="n">
        <v>-0.3</v>
      </c>
      <c r="I95" s="6" t="n">
        <v>4</v>
      </c>
      <c r="J95" s="6" t="n">
        <v>0</v>
      </c>
      <c r="K95" s="6" t="n">
        <v>0</v>
      </c>
      <c r="L95" s="15" t="n"/>
      <c r="M95" s="16" t="n">
        <v>1887.9</v>
      </c>
      <c r="N95" s="15" t="n"/>
    </row>
    <row r="96" ht="13" customHeight="1">
      <c r="A96" s="17" t="inlineStr">
        <is>
          <t>Jul 06 2026</t>
        </is>
      </c>
      <c r="B96" s="4" t="n">
        <v>25900</v>
      </c>
      <c r="C96" s="4" t="n">
        <v>9264</v>
      </c>
      <c r="D96" s="4" t="n">
        <v>-2903</v>
      </c>
      <c r="E96" s="4" t="n">
        <v>46296</v>
      </c>
      <c r="F96" s="18" t="n">
        <v>38</v>
      </c>
      <c r="G96" s="18" t="n">
        <v>0.25</v>
      </c>
      <c r="H96" s="18" t="n">
        <v>-0.25</v>
      </c>
      <c r="I96" s="4" t="n">
        <v>0</v>
      </c>
      <c r="J96" s="4" t="n">
        <v>0</v>
      </c>
      <c r="K96" s="4" t="n">
        <v>0</v>
      </c>
      <c r="L96" s="17" t="n"/>
      <c r="M96" s="17" t="n"/>
      <c r="N96" s="17" t="n"/>
    </row>
    <row r="97" ht="13" customHeight="1">
      <c r="A97" s="15" t="inlineStr">
        <is>
          <t>Jul 06 2026</t>
        </is>
      </c>
      <c r="B97" s="6" t="n">
        <v>25950</v>
      </c>
      <c r="C97" s="6" t="n">
        <v>2004</v>
      </c>
      <c r="D97" s="6" t="n">
        <v>-1839</v>
      </c>
      <c r="E97" s="6" t="n">
        <v>15624</v>
      </c>
      <c r="F97" s="16" t="n">
        <v>40.37</v>
      </c>
      <c r="G97" s="16" t="n">
        <v>0.35</v>
      </c>
      <c r="H97" s="16" t="n">
        <v>-0.1</v>
      </c>
      <c r="I97" s="6" t="n">
        <v>0</v>
      </c>
      <c r="J97" s="6" t="n">
        <v>0</v>
      </c>
      <c r="K97" s="6" t="n">
        <v>0</v>
      </c>
      <c r="L97" s="15" t="n"/>
      <c r="M97" s="15" t="n"/>
      <c r="N97" s="15" t="n"/>
    </row>
    <row r="98" ht="13" customHeight="1">
      <c r="A98" s="17" t="inlineStr">
        <is>
          <t>Jul 06 2026</t>
        </is>
      </c>
      <c r="B98" s="4" t="n">
        <v>26000</v>
      </c>
      <c r="C98" s="4" t="n">
        <v>31526</v>
      </c>
      <c r="D98" s="4" t="n">
        <v>-53987</v>
      </c>
      <c r="E98" s="4" t="n">
        <v>217678</v>
      </c>
      <c r="F98" s="18" t="n">
        <v>42.54</v>
      </c>
      <c r="G98" s="18" t="n">
        <v>0.45</v>
      </c>
      <c r="H98" s="17" t="n"/>
      <c r="I98" s="4" t="n">
        <v>732</v>
      </c>
      <c r="J98" s="4" t="n">
        <v>-322</v>
      </c>
      <c r="K98" s="4" t="n">
        <v>510</v>
      </c>
      <c r="L98" s="18" t="n">
        <v>72.54000000000001</v>
      </c>
      <c r="M98" s="18" t="n">
        <v>1583.1</v>
      </c>
      <c r="N98" s="18" t="n">
        <v>-130.5</v>
      </c>
    </row>
    <row r="99" ht="13" customHeight="1">
      <c r="A99" s="15" t="inlineStr">
        <is>
          <t>Jul 06 2026</t>
        </is>
      </c>
      <c r="B99" s="6" t="n">
        <v>26050</v>
      </c>
      <c r="C99" s="6" t="n">
        <v>1999</v>
      </c>
      <c r="D99" s="6" t="n">
        <v>-4030</v>
      </c>
      <c r="E99" s="6" t="n">
        <v>15623</v>
      </c>
      <c r="F99" s="16" t="n">
        <v>43.24</v>
      </c>
      <c r="G99" s="16" t="n">
        <v>0.4</v>
      </c>
      <c r="H99" s="15" t="n"/>
      <c r="I99" s="6" t="n">
        <v>0</v>
      </c>
      <c r="J99" s="6" t="n">
        <v>0</v>
      </c>
      <c r="K99" s="6" t="n">
        <v>0</v>
      </c>
      <c r="L99" s="15" t="n"/>
      <c r="M99" s="15" t="n"/>
      <c r="N99" s="15" t="n"/>
    </row>
    <row r="100" ht="13" customHeight="1">
      <c r="A100" s="17" t="inlineStr">
        <is>
          <t>Jul 06 2026</t>
        </is>
      </c>
      <c r="B100" s="4" t="n">
        <v>26100</v>
      </c>
      <c r="C100" s="4" t="n">
        <v>5215</v>
      </c>
      <c r="D100" s="4" t="n">
        <v>-6666</v>
      </c>
      <c r="E100" s="4" t="n">
        <v>26920</v>
      </c>
      <c r="F100" s="18" t="n">
        <v>44.91</v>
      </c>
      <c r="G100" s="18" t="n">
        <v>0.45</v>
      </c>
      <c r="H100" s="17" t="n"/>
      <c r="I100" s="4" t="n">
        <v>0</v>
      </c>
      <c r="J100" s="4" t="n">
        <v>0</v>
      </c>
      <c r="K100" s="4" t="n">
        <v>0</v>
      </c>
      <c r="L100" s="17" t="n"/>
      <c r="M100" s="17" t="n"/>
      <c r="N100" s="17" t="n"/>
    </row>
    <row r="101" ht="13" customHeight="1">
      <c r="A101" s="15" t="inlineStr">
        <is>
          <t>Jul 06 2026</t>
        </is>
      </c>
      <c r="B101" s="6" t="n">
        <v>26150</v>
      </c>
      <c r="C101" s="6" t="n">
        <v>1592</v>
      </c>
      <c r="D101" s="6" t="n">
        <v>-2216</v>
      </c>
      <c r="E101" s="6" t="n">
        <v>14488</v>
      </c>
      <c r="F101" s="16" t="n">
        <v>45</v>
      </c>
      <c r="G101" s="16" t="n">
        <v>0.35</v>
      </c>
      <c r="H101" s="16" t="n">
        <v>-0.05</v>
      </c>
      <c r="I101" s="6" t="n">
        <v>0</v>
      </c>
      <c r="J101" s="6" t="n">
        <v>0</v>
      </c>
      <c r="K101" s="6" t="n">
        <v>0</v>
      </c>
      <c r="L101" s="15" t="n"/>
      <c r="M101" s="15" t="n"/>
      <c r="N101" s="15" t="n"/>
    </row>
    <row r="102" ht="13" customHeight="1">
      <c r="A102" s="17" t="inlineStr">
        <is>
          <t>Jul 06 2026</t>
        </is>
      </c>
      <c r="B102" s="4" t="n">
        <v>26200</v>
      </c>
      <c r="C102" s="4" t="n">
        <v>3888</v>
      </c>
      <c r="D102" s="4" t="n">
        <v>-7289</v>
      </c>
      <c r="E102" s="4" t="n">
        <v>24865</v>
      </c>
      <c r="F102" s="18" t="n">
        <v>45.51</v>
      </c>
      <c r="G102" s="18" t="n">
        <v>0.3</v>
      </c>
      <c r="H102" s="18" t="n">
        <v>-0.1</v>
      </c>
      <c r="I102" s="4" t="n">
        <v>10</v>
      </c>
      <c r="J102" s="4" t="n">
        <v>0</v>
      </c>
      <c r="K102" s="4" t="n">
        <v>2</v>
      </c>
      <c r="L102" s="18" t="n">
        <v>68.58</v>
      </c>
      <c r="M102" s="18" t="n">
        <v>1771.5</v>
      </c>
      <c r="N102" s="18" t="n">
        <v>-468.2</v>
      </c>
    </row>
    <row r="103" ht="13" customHeight="1">
      <c r="A103" s="15" t="inlineStr">
        <is>
          <t>Jul 06 2026</t>
        </is>
      </c>
      <c r="B103" s="6" t="n">
        <v>26250</v>
      </c>
      <c r="C103" s="6" t="n">
        <v>2008</v>
      </c>
      <c r="D103" s="6" t="n">
        <v>-2460</v>
      </c>
      <c r="E103" s="6" t="n">
        <v>12613</v>
      </c>
      <c r="F103" s="16" t="n">
        <v>46.64</v>
      </c>
      <c r="G103" s="16" t="n">
        <v>0.3</v>
      </c>
      <c r="H103" s="16" t="n">
        <v>-0.1</v>
      </c>
      <c r="I103" s="6" t="n">
        <v>0</v>
      </c>
      <c r="J103" s="6" t="n">
        <v>0</v>
      </c>
      <c r="K103" s="6" t="n">
        <v>0</v>
      </c>
      <c r="L103" s="15" t="n"/>
      <c r="M103" s="15" t="n"/>
      <c r="N103" s="15" t="n"/>
    </row>
    <row r="104" ht="13" customHeight="1">
      <c r="A104" s="17" t="inlineStr">
        <is>
          <t>Jul 06 2026</t>
        </is>
      </c>
      <c r="B104" s="4" t="n">
        <v>26300</v>
      </c>
      <c r="C104" s="4" t="n">
        <v>21055</v>
      </c>
      <c r="D104" s="4" t="n">
        <v>-34689</v>
      </c>
      <c r="E104" s="4" t="n">
        <v>148382</v>
      </c>
      <c r="F104" s="18" t="n">
        <v>47</v>
      </c>
      <c r="G104" s="18" t="n">
        <v>0.25</v>
      </c>
      <c r="H104" s="18" t="n">
        <v>-0.1</v>
      </c>
      <c r="I104" s="4" t="n">
        <v>40</v>
      </c>
      <c r="J104" s="4" t="n">
        <v>0</v>
      </c>
      <c r="K104" s="4" t="n">
        <v>3</v>
      </c>
      <c r="L104" s="18" t="n">
        <v>52.5</v>
      </c>
      <c r="M104" s="18" t="n">
        <v>1863.25</v>
      </c>
      <c r="N104" s="18" t="n">
        <v>-450.1</v>
      </c>
    </row>
  </sheetData>
  <mergeCells count="5">
    <mergeCell ref="A2:B2"/>
    <mergeCell ref="A4:N4"/>
    <mergeCell ref="J2:N2"/>
    <mergeCell ref="C2:I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Dashboard</t>
        </is>
      </c>
    </row>
    <row r="2" ht="16" customHeight="1">
      <c r="A2" s="19" t="inlineStr">
        <is>
          <t>Metric</t>
        </is>
      </c>
      <c r="B2" s="19" t="inlineStr">
        <is>
          <t>Jun 30 2026</t>
        </is>
      </c>
      <c r="C2" s="20" t="n"/>
      <c r="D2" s="20" t="n"/>
      <c r="E2" s="20" t="n"/>
      <c r="F2" s="21" t="n"/>
      <c r="G2" s="19" t="inlineStr">
        <is>
          <t>Jul 01 2026</t>
        </is>
      </c>
      <c r="H2" s="20" t="n"/>
      <c r="I2" s="20" t="n"/>
      <c r="J2" s="20" t="n"/>
      <c r="K2" s="21" t="n"/>
      <c r="L2" s="19" t="inlineStr">
        <is>
          <t>Jul 02 2026</t>
        </is>
      </c>
      <c r="M2" s="20" t="n"/>
      <c r="N2" s="20" t="n"/>
      <c r="O2" s="20" t="n"/>
      <c r="P2" s="21" t="n"/>
      <c r="Q2" s="19" t="inlineStr">
        <is>
          <t>Jul 03 2026</t>
        </is>
      </c>
      <c r="R2" s="20" t="n"/>
      <c r="S2" s="20" t="n"/>
      <c r="T2" s="20" t="n"/>
      <c r="U2" s="21" t="n"/>
      <c r="V2" s="19" t="inlineStr">
        <is>
          <t>Jul 06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Long OI</t>
        </is>
      </c>
      <c r="B5" s="4">
        <f>'Raw OI Data'!C3</f>
        <v/>
      </c>
      <c r="C5" s="4">
        <f>'Raw OI Data'!C4</f>
        <v/>
      </c>
      <c r="D5" s="4">
        <f>'Raw OI Data'!C5</f>
        <v/>
      </c>
      <c r="E5" s="4">
        <f>'Raw OI Data'!C6</f>
        <v/>
      </c>
      <c r="F5" s="26" t="n"/>
      <c r="G5" s="4">
        <f>'Raw OI Data'!C7</f>
        <v/>
      </c>
      <c r="H5" s="4">
        <f>'Raw OI Data'!C8</f>
        <v/>
      </c>
      <c r="I5" s="4">
        <f>'Raw OI Data'!C9</f>
        <v/>
      </c>
      <c r="J5" s="4">
        <f>'Raw OI Data'!C10</f>
        <v/>
      </c>
      <c r="K5" s="26" t="n"/>
      <c r="L5" s="4">
        <f>'Raw OI Data'!C11</f>
        <v/>
      </c>
      <c r="M5" s="4">
        <f>'Raw OI Data'!C12</f>
        <v/>
      </c>
      <c r="N5" s="4">
        <f>'Raw OI Data'!C13</f>
        <v/>
      </c>
      <c r="O5" s="4">
        <f>'Raw OI Data'!C14</f>
        <v/>
      </c>
      <c r="P5" s="26" t="n"/>
      <c r="Q5" s="4">
        <f>'Raw OI Data'!C15</f>
        <v/>
      </c>
      <c r="R5" s="4">
        <f>'Raw OI Data'!C16</f>
        <v/>
      </c>
      <c r="S5" s="4">
        <f>'Raw OI Data'!C17</f>
        <v/>
      </c>
      <c r="T5" s="4">
        <f>'Raw OI Data'!C18</f>
        <v/>
      </c>
      <c r="U5" s="26" t="n"/>
      <c r="V5" s="4">
        <f>'Raw OI Data'!C19</f>
        <v/>
      </c>
      <c r="W5" s="4">
        <f>'Raw OI Data'!C20</f>
        <v/>
      </c>
      <c r="X5" s="4">
        <f>'Raw OI Data'!C21</f>
        <v/>
      </c>
      <c r="Y5" s="4">
        <f>'Raw OI Data'!C22</f>
        <v/>
      </c>
      <c r="Z5" s="26" t="n"/>
    </row>
    <row r="6" ht="14" customHeight="1">
      <c r="A6" s="25" t="inlineStr">
        <is>
          <t>Short OI</t>
        </is>
      </c>
      <c r="B6" s="6">
        <f>'Raw OI Data'!D3</f>
        <v/>
      </c>
      <c r="C6" s="6">
        <f>'Raw OI Data'!D4</f>
        <v/>
      </c>
      <c r="D6" s="6">
        <f>'Raw OI Data'!D5</f>
        <v/>
      </c>
      <c r="E6" s="6">
        <f>'Raw OI Data'!D6</f>
        <v/>
      </c>
      <c r="F6" s="27" t="n"/>
      <c r="G6" s="6">
        <f>'Raw OI Data'!D7</f>
        <v/>
      </c>
      <c r="H6" s="6">
        <f>'Raw OI Data'!D8</f>
        <v/>
      </c>
      <c r="I6" s="6">
        <f>'Raw OI Data'!D9</f>
        <v/>
      </c>
      <c r="J6" s="6">
        <f>'Raw OI Data'!D10</f>
        <v/>
      </c>
      <c r="K6" s="27" t="n"/>
      <c r="L6" s="6">
        <f>'Raw OI Data'!D11</f>
        <v/>
      </c>
      <c r="M6" s="6">
        <f>'Raw OI Data'!D12</f>
        <v/>
      </c>
      <c r="N6" s="6">
        <f>'Raw OI Data'!D13</f>
        <v/>
      </c>
      <c r="O6" s="6">
        <f>'Raw OI Data'!D14</f>
        <v/>
      </c>
      <c r="P6" s="27" t="n"/>
      <c r="Q6" s="6">
        <f>'Raw OI Data'!D15</f>
        <v/>
      </c>
      <c r="R6" s="6">
        <f>'Raw OI Data'!D16</f>
        <v/>
      </c>
      <c r="S6" s="6">
        <f>'Raw OI Data'!D17</f>
        <v/>
      </c>
      <c r="T6" s="6">
        <f>'Raw OI Data'!D18</f>
        <v/>
      </c>
      <c r="U6" s="27" t="n"/>
      <c r="V6" s="6">
        <f>'Raw OI Data'!D19</f>
        <v/>
      </c>
      <c r="W6" s="6">
        <f>'Raw OI Data'!D20</f>
        <v/>
      </c>
      <c r="X6" s="6">
        <f>'Raw OI Data'!D21</f>
        <v/>
      </c>
      <c r="Y6" s="6">
        <f>'Raw OI Data'!D22</f>
        <v/>
      </c>
      <c r="Z6" s="27" t="n"/>
    </row>
    <row r="7" ht="14" customHeight="1">
      <c r="A7" s="25" t="inlineStr">
        <is>
          <t>Net OI (L−S)</t>
        </is>
      </c>
      <c r="B7" s="28">
        <f>'Raw OI Data'!C3-'Raw OI Data'!D3</f>
        <v/>
      </c>
      <c r="C7" s="28">
        <f>'Raw OI Data'!C4-'Raw OI Data'!D4</f>
        <v/>
      </c>
      <c r="D7" s="28">
        <f>'Raw OI Data'!C5-'Raw OI Data'!D5</f>
        <v/>
      </c>
      <c r="E7" s="28">
        <f>'Raw OI Data'!C6-'Raw OI Data'!D6</f>
        <v/>
      </c>
      <c r="F7" s="26" t="n"/>
      <c r="G7" s="28">
        <f>'Raw OI Data'!C7-'Raw OI Data'!D7</f>
        <v/>
      </c>
      <c r="H7" s="28">
        <f>'Raw OI Data'!C8-'Raw OI Data'!D8</f>
        <v/>
      </c>
      <c r="I7" s="28">
        <f>'Raw OI Data'!C9-'Raw OI Data'!D9</f>
        <v/>
      </c>
      <c r="J7" s="28">
        <f>'Raw OI Data'!C10-'Raw OI Data'!D10</f>
        <v/>
      </c>
      <c r="K7" s="26" t="n"/>
      <c r="L7" s="28">
        <f>'Raw OI Data'!C11-'Raw OI Data'!D11</f>
        <v/>
      </c>
      <c r="M7" s="28">
        <f>'Raw OI Data'!C12-'Raw OI Data'!D12</f>
        <v/>
      </c>
      <c r="N7" s="28">
        <f>'Raw OI Data'!C13-'Raw OI Data'!D13</f>
        <v/>
      </c>
      <c r="O7" s="28">
        <f>'Raw OI Data'!C14-'Raw OI Data'!D14</f>
        <v/>
      </c>
      <c r="P7" s="26" t="n"/>
      <c r="Q7" s="28">
        <f>'Raw OI Data'!C15-'Raw OI Data'!D15</f>
        <v/>
      </c>
      <c r="R7" s="28">
        <f>'Raw OI Data'!C16-'Raw OI Data'!D16</f>
        <v/>
      </c>
      <c r="S7" s="28">
        <f>'Raw OI Data'!C17-'Raw OI Data'!D17</f>
        <v/>
      </c>
      <c r="T7" s="28">
        <f>'Raw OI Data'!C18-'Raw OI Data'!D18</f>
        <v/>
      </c>
      <c r="U7" s="26" t="n"/>
      <c r="V7" s="28">
        <f>'Raw OI Data'!C19-'Raw OI Data'!D19</f>
        <v/>
      </c>
      <c r="W7" s="28">
        <f>'Raw OI Data'!C20-'Raw OI Data'!D20</f>
        <v/>
      </c>
      <c r="X7" s="28">
        <f>'Raw OI Data'!C21-'Raw OI Data'!D21</f>
        <v/>
      </c>
      <c r="Y7" s="28">
        <f>'Raw OI Data'!C22-'Raw OI Data'!D22</f>
        <v/>
      </c>
      <c r="Z7" s="26" t="n"/>
    </row>
    <row r="8" ht="14" customHeight="1">
      <c r="A8" s="25" t="inlineStr">
        <is>
          <t>L/S Ratio</t>
        </is>
      </c>
      <c r="B8" s="29">
        <f>IFERROR('Raw OI Data'!C3/'Raw OI Data'!D3,0)</f>
        <v/>
      </c>
      <c r="C8" s="29">
        <f>IFERROR('Raw OI Data'!C4/'Raw OI Data'!D4,0)</f>
        <v/>
      </c>
      <c r="D8" s="29">
        <f>IFERROR('Raw OI Data'!C5/'Raw OI Data'!D5,0)</f>
        <v/>
      </c>
      <c r="E8" s="29">
        <f>IFERROR('Raw OI Data'!C6/'Raw OI Data'!D6,0)</f>
        <v/>
      </c>
      <c r="F8" s="27" t="n"/>
      <c r="G8" s="29">
        <f>IFERROR('Raw OI Data'!C7/'Raw OI Data'!D7,0)</f>
        <v/>
      </c>
      <c r="H8" s="29">
        <f>IFERROR('Raw OI Data'!C8/'Raw OI Data'!D8,0)</f>
        <v/>
      </c>
      <c r="I8" s="29">
        <f>IFERROR('Raw OI Data'!C9/'Raw OI Data'!D9,0)</f>
        <v/>
      </c>
      <c r="J8" s="29">
        <f>IFERROR('Raw OI Data'!C10/'Raw OI Data'!D10,0)</f>
        <v/>
      </c>
      <c r="K8" s="27" t="n"/>
      <c r="L8" s="29">
        <f>IFERROR('Raw OI Data'!C11/'Raw OI Data'!D11,0)</f>
        <v/>
      </c>
      <c r="M8" s="29">
        <f>IFERROR('Raw OI Data'!C12/'Raw OI Data'!D12,0)</f>
        <v/>
      </c>
      <c r="N8" s="29">
        <f>IFERROR('Raw OI Data'!C13/'Raw OI Data'!D13,0)</f>
        <v/>
      </c>
      <c r="O8" s="29">
        <f>IFERROR('Raw OI Data'!C14/'Raw OI Data'!D14,0)</f>
        <v/>
      </c>
      <c r="P8" s="27" t="n"/>
      <c r="Q8" s="29">
        <f>IFERROR('Raw OI Data'!C15/'Raw OI Data'!D15,0)</f>
        <v/>
      </c>
      <c r="R8" s="29">
        <f>IFERROR('Raw OI Data'!C16/'Raw OI Data'!D16,0)</f>
        <v/>
      </c>
      <c r="S8" s="29">
        <f>IFERROR('Raw OI Data'!C17/'Raw OI Data'!D17,0)</f>
        <v/>
      </c>
      <c r="T8" s="29">
        <f>IFERROR('Raw OI Data'!C18/'Raw OI Data'!D18,0)</f>
        <v/>
      </c>
      <c r="U8" s="27" t="n"/>
      <c r="V8" s="29">
        <f>IFERROR('Raw OI Data'!C19/'Raw OI Data'!D19,0)</f>
        <v/>
      </c>
      <c r="W8" s="29">
        <f>IFERROR('Raw OI Data'!C20/'Raw OI Data'!D20,0)</f>
        <v/>
      </c>
      <c r="X8" s="29">
        <f>IFERROR('Raw OI Data'!C21/'Raw OI Data'!D21,0)</f>
        <v/>
      </c>
      <c r="Y8" s="29">
        <f>IFERROR('Raw OI Data'!C22/'Raw OI Data'!D22,0)</f>
        <v/>
      </c>
      <c r="Z8" s="27" t="n"/>
    </row>
    <row r="9" ht="16" customHeight="1">
      <c r="A9" s="14" t="inlineStr">
        <is>
          <t>FUTURES — STOCK</t>
        </is>
      </c>
    </row>
    <row r="10" ht="14" customHeight="1">
      <c r="A10" s="25" t="inlineStr">
        <is>
          <t>Long OI</t>
        </is>
      </c>
      <c r="B10" s="4">
        <f>'Raw OI Data'!E3</f>
        <v/>
      </c>
      <c r="C10" s="4">
        <f>'Raw OI Data'!E4</f>
        <v/>
      </c>
      <c r="D10" s="4">
        <f>'Raw OI Data'!E5</f>
        <v/>
      </c>
      <c r="E10" s="4">
        <f>'Raw OI Data'!E6</f>
        <v/>
      </c>
      <c r="F10" s="26" t="n"/>
      <c r="G10" s="4">
        <f>'Raw OI Data'!E7</f>
        <v/>
      </c>
      <c r="H10" s="4">
        <f>'Raw OI Data'!E8</f>
        <v/>
      </c>
      <c r="I10" s="4">
        <f>'Raw OI Data'!E9</f>
        <v/>
      </c>
      <c r="J10" s="4">
        <f>'Raw OI Data'!E10</f>
        <v/>
      </c>
      <c r="K10" s="26" t="n"/>
      <c r="L10" s="4">
        <f>'Raw OI Data'!E11</f>
        <v/>
      </c>
      <c r="M10" s="4">
        <f>'Raw OI Data'!E12</f>
        <v/>
      </c>
      <c r="N10" s="4">
        <f>'Raw OI Data'!E13</f>
        <v/>
      </c>
      <c r="O10" s="4">
        <f>'Raw OI Data'!E14</f>
        <v/>
      </c>
      <c r="P10" s="26" t="n"/>
      <c r="Q10" s="4">
        <f>'Raw OI Data'!E15</f>
        <v/>
      </c>
      <c r="R10" s="4">
        <f>'Raw OI Data'!E16</f>
        <v/>
      </c>
      <c r="S10" s="4">
        <f>'Raw OI Data'!E17</f>
        <v/>
      </c>
      <c r="T10" s="4">
        <f>'Raw OI Data'!E18</f>
        <v/>
      </c>
      <c r="U10" s="26" t="n"/>
      <c r="V10" s="4">
        <f>'Raw OI Data'!E19</f>
        <v/>
      </c>
      <c r="W10" s="4">
        <f>'Raw OI Data'!E20</f>
        <v/>
      </c>
      <c r="X10" s="4">
        <f>'Raw OI Data'!E21</f>
        <v/>
      </c>
      <c r="Y10" s="4">
        <f>'Raw OI Data'!E22</f>
        <v/>
      </c>
      <c r="Z10" s="26" t="n"/>
    </row>
    <row r="11" ht="14" customHeight="1">
      <c r="A11" s="25" t="inlineStr">
        <is>
          <t>Short OI</t>
        </is>
      </c>
      <c r="B11" s="6">
        <f>'Raw OI Data'!F3</f>
        <v/>
      </c>
      <c r="C11" s="6">
        <f>'Raw OI Data'!F4</f>
        <v/>
      </c>
      <c r="D11" s="6">
        <f>'Raw OI Data'!F5</f>
        <v/>
      </c>
      <c r="E11" s="6">
        <f>'Raw OI Data'!F6</f>
        <v/>
      </c>
      <c r="F11" s="27" t="n"/>
      <c r="G11" s="6">
        <f>'Raw OI Data'!F7</f>
        <v/>
      </c>
      <c r="H11" s="6">
        <f>'Raw OI Data'!F8</f>
        <v/>
      </c>
      <c r="I11" s="6">
        <f>'Raw OI Data'!F9</f>
        <v/>
      </c>
      <c r="J11" s="6">
        <f>'Raw OI Data'!F10</f>
        <v/>
      </c>
      <c r="K11" s="27" t="n"/>
      <c r="L11" s="6">
        <f>'Raw OI Data'!F11</f>
        <v/>
      </c>
      <c r="M11" s="6">
        <f>'Raw OI Data'!F12</f>
        <v/>
      </c>
      <c r="N11" s="6">
        <f>'Raw OI Data'!F13</f>
        <v/>
      </c>
      <c r="O11" s="6">
        <f>'Raw OI Data'!F14</f>
        <v/>
      </c>
      <c r="P11" s="27" t="n"/>
      <c r="Q11" s="6">
        <f>'Raw OI Data'!F15</f>
        <v/>
      </c>
      <c r="R11" s="6">
        <f>'Raw OI Data'!F16</f>
        <v/>
      </c>
      <c r="S11" s="6">
        <f>'Raw OI Data'!F17</f>
        <v/>
      </c>
      <c r="T11" s="6">
        <f>'Raw OI Data'!F18</f>
        <v/>
      </c>
      <c r="U11" s="27" t="n"/>
      <c r="V11" s="6">
        <f>'Raw OI Data'!F19</f>
        <v/>
      </c>
      <c r="W11" s="6">
        <f>'Raw OI Data'!F20</f>
        <v/>
      </c>
      <c r="X11" s="6">
        <f>'Raw OI Data'!F21</f>
        <v/>
      </c>
      <c r="Y11" s="6">
        <f>'Raw OI Data'!F22</f>
        <v/>
      </c>
      <c r="Z11" s="27" t="n"/>
    </row>
    <row r="12" ht="14" customHeight="1">
      <c r="A12" s="25" t="inlineStr">
        <is>
          <t>Net OI (L−S)</t>
        </is>
      </c>
      <c r="B12" s="28">
        <f>'Raw OI Data'!E3-'Raw OI Data'!F3</f>
        <v/>
      </c>
      <c r="C12" s="28">
        <f>'Raw OI Data'!E4-'Raw OI Data'!F4</f>
        <v/>
      </c>
      <c r="D12" s="28">
        <f>'Raw OI Data'!E5-'Raw OI Data'!F5</f>
        <v/>
      </c>
      <c r="E12" s="28">
        <f>'Raw OI Data'!E6-'Raw OI Data'!F6</f>
        <v/>
      </c>
      <c r="F12" s="26" t="n"/>
      <c r="G12" s="28">
        <f>'Raw OI Data'!E7-'Raw OI Data'!F7</f>
        <v/>
      </c>
      <c r="H12" s="28">
        <f>'Raw OI Data'!E8-'Raw OI Data'!F8</f>
        <v/>
      </c>
      <c r="I12" s="28">
        <f>'Raw OI Data'!E9-'Raw OI Data'!F9</f>
        <v/>
      </c>
      <c r="J12" s="28">
        <f>'Raw OI Data'!E10-'Raw OI Data'!F10</f>
        <v/>
      </c>
      <c r="K12" s="26" t="n"/>
      <c r="L12" s="28">
        <f>'Raw OI Data'!E11-'Raw OI Data'!F11</f>
        <v/>
      </c>
      <c r="M12" s="28">
        <f>'Raw OI Data'!E12-'Raw OI Data'!F12</f>
        <v/>
      </c>
      <c r="N12" s="28">
        <f>'Raw OI Data'!E13-'Raw OI Data'!F13</f>
        <v/>
      </c>
      <c r="O12" s="28">
        <f>'Raw OI Data'!E14-'Raw OI Data'!F14</f>
        <v/>
      </c>
      <c r="P12" s="26" t="n"/>
      <c r="Q12" s="28">
        <f>'Raw OI Data'!E15-'Raw OI Data'!F15</f>
        <v/>
      </c>
      <c r="R12" s="28">
        <f>'Raw OI Data'!E16-'Raw OI Data'!F16</f>
        <v/>
      </c>
      <c r="S12" s="28">
        <f>'Raw OI Data'!E17-'Raw OI Data'!F17</f>
        <v/>
      </c>
      <c r="T12" s="28">
        <f>'Raw OI Data'!E18-'Raw OI Data'!F18</f>
        <v/>
      </c>
      <c r="U12" s="26" t="n"/>
      <c r="V12" s="28">
        <f>'Raw OI Data'!E19-'Raw OI Data'!F19</f>
        <v/>
      </c>
      <c r="W12" s="28">
        <f>'Raw OI Data'!E20-'Raw OI Data'!F20</f>
        <v/>
      </c>
      <c r="X12" s="28">
        <f>'Raw OI Data'!E21-'Raw OI Data'!F21</f>
        <v/>
      </c>
      <c r="Y12" s="28">
        <f>'Raw OI Data'!E22-'Raw OI Data'!F22</f>
        <v/>
      </c>
      <c r="Z12" s="26" t="n"/>
    </row>
    <row r="13" ht="14" customHeight="1">
      <c r="A13" s="25" t="inlineStr">
        <is>
          <t>L/S Ratio</t>
        </is>
      </c>
      <c r="B13" s="29">
        <f>IFERROR('Raw OI Data'!E3/'Raw OI Data'!F3,0)</f>
        <v/>
      </c>
      <c r="C13" s="29">
        <f>IFERROR('Raw OI Data'!E4/'Raw OI Data'!F4,0)</f>
        <v/>
      </c>
      <c r="D13" s="29">
        <f>IFERROR('Raw OI Data'!E5/'Raw OI Data'!F5,0)</f>
        <v/>
      </c>
      <c r="E13" s="29">
        <f>IFERROR('Raw OI Data'!E6/'Raw OI Data'!F6,0)</f>
        <v/>
      </c>
      <c r="F13" s="27" t="n"/>
      <c r="G13" s="29">
        <f>IFERROR('Raw OI Data'!E7/'Raw OI Data'!F7,0)</f>
        <v/>
      </c>
      <c r="H13" s="29">
        <f>IFERROR('Raw OI Data'!E8/'Raw OI Data'!F8,0)</f>
        <v/>
      </c>
      <c r="I13" s="29">
        <f>IFERROR('Raw OI Data'!E9/'Raw OI Data'!F9,0)</f>
        <v/>
      </c>
      <c r="J13" s="29">
        <f>IFERROR('Raw OI Data'!E10/'Raw OI Data'!F10,0)</f>
        <v/>
      </c>
      <c r="K13" s="27" t="n"/>
      <c r="L13" s="29">
        <f>IFERROR('Raw OI Data'!E11/'Raw OI Data'!F11,0)</f>
        <v/>
      </c>
      <c r="M13" s="29">
        <f>IFERROR('Raw OI Data'!E12/'Raw OI Data'!F12,0)</f>
        <v/>
      </c>
      <c r="N13" s="29">
        <f>IFERROR('Raw OI Data'!E13/'Raw OI Data'!F13,0)</f>
        <v/>
      </c>
      <c r="O13" s="29">
        <f>IFERROR('Raw OI Data'!E14/'Raw OI Data'!F14,0)</f>
        <v/>
      </c>
      <c r="P13" s="27" t="n"/>
      <c r="Q13" s="29">
        <f>IFERROR('Raw OI Data'!E15/'Raw OI Data'!F15,0)</f>
        <v/>
      </c>
      <c r="R13" s="29">
        <f>IFERROR('Raw OI Data'!E16/'Raw OI Data'!F16,0)</f>
        <v/>
      </c>
      <c r="S13" s="29">
        <f>IFERROR('Raw OI Data'!E17/'Raw OI Data'!F17,0)</f>
        <v/>
      </c>
      <c r="T13" s="29">
        <f>IFERROR('Raw OI Data'!E18/'Raw OI Data'!F18,0)</f>
        <v/>
      </c>
      <c r="U13" s="27" t="n"/>
      <c r="V13" s="29">
        <f>IFERROR('Raw OI Data'!E19/'Raw OI Data'!F19,0)</f>
        <v/>
      </c>
      <c r="W13" s="29">
        <f>IFERROR('Raw OI Data'!E20/'Raw OI Data'!F20,0)</f>
        <v/>
      </c>
      <c r="X13" s="29">
        <f>IFERROR('Raw OI Data'!E21/'Raw OI Data'!F21,0)</f>
        <v/>
      </c>
      <c r="Y13" s="29">
        <f>IFERROR('Raw OI Data'!E22/'Raw OI Data'!F22,0)</f>
        <v/>
      </c>
      <c r="Z13" s="27" t="n"/>
    </row>
    <row r="14" ht="16" customHeight="1">
      <c r="A14" s="14" t="inlineStr">
        <is>
          <t>OPTIONS — INDEX CALLS</t>
        </is>
      </c>
    </row>
    <row r="15" ht="14" customHeight="1">
      <c r="A15" s="25" t="inlineStr">
        <is>
          <t>Call Long OI</t>
        </is>
      </c>
      <c r="B15" s="4">
        <f>'Raw OI Data'!G3</f>
        <v/>
      </c>
      <c r="C15" s="4">
        <f>'Raw OI Data'!G4</f>
        <v/>
      </c>
      <c r="D15" s="4">
        <f>'Raw OI Data'!G5</f>
        <v/>
      </c>
      <c r="E15" s="4">
        <f>'Raw OI Data'!G6</f>
        <v/>
      </c>
      <c r="F15" s="26" t="n"/>
      <c r="G15" s="4">
        <f>'Raw OI Data'!G7</f>
        <v/>
      </c>
      <c r="H15" s="4">
        <f>'Raw OI Data'!G8</f>
        <v/>
      </c>
      <c r="I15" s="4">
        <f>'Raw OI Data'!G9</f>
        <v/>
      </c>
      <c r="J15" s="4">
        <f>'Raw OI Data'!G10</f>
        <v/>
      </c>
      <c r="K15" s="26" t="n"/>
      <c r="L15" s="4">
        <f>'Raw OI Data'!G11</f>
        <v/>
      </c>
      <c r="M15" s="4">
        <f>'Raw OI Data'!G12</f>
        <v/>
      </c>
      <c r="N15" s="4">
        <f>'Raw OI Data'!G13</f>
        <v/>
      </c>
      <c r="O15" s="4">
        <f>'Raw OI Data'!G14</f>
        <v/>
      </c>
      <c r="P15" s="26" t="n"/>
      <c r="Q15" s="4">
        <f>'Raw OI Data'!G15</f>
        <v/>
      </c>
      <c r="R15" s="4">
        <f>'Raw OI Data'!G16</f>
        <v/>
      </c>
      <c r="S15" s="4">
        <f>'Raw OI Data'!G17</f>
        <v/>
      </c>
      <c r="T15" s="4">
        <f>'Raw OI Data'!G18</f>
        <v/>
      </c>
      <c r="U15" s="26" t="n"/>
      <c r="V15" s="4">
        <f>'Raw OI Data'!G19</f>
        <v/>
      </c>
      <c r="W15" s="4">
        <f>'Raw OI Data'!G20</f>
        <v/>
      </c>
      <c r="X15" s="4">
        <f>'Raw OI Data'!G21</f>
        <v/>
      </c>
      <c r="Y15" s="4">
        <f>'Raw OI Data'!G22</f>
        <v/>
      </c>
      <c r="Z15" s="26" t="n"/>
    </row>
    <row r="16" ht="14" customHeight="1">
      <c r="A16" s="25" t="inlineStr">
        <is>
          <t>Call Short OI</t>
        </is>
      </c>
      <c r="B16" s="6">
        <f>'Raw OI Data'!I3</f>
        <v/>
      </c>
      <c r="C16" s="6">
        <f>'Raw OI Data'!I4</f>
        <v/>
      </c>
      <c r="D16" s="6">
        <f>'Raw OI Data'!I5</f>
        <v/>
      </c>
      <c r="E16" s="6">
        <f>'Raw OI Data'!I6</f>
        <v/>
      </c>
      <c r="F16" s="27" t="n"/>
      <c r="G16" s="6">
        <f>'Raw OI Data'!I7</f>
        <v/>
      </c>
      <c r="H16" s="6">
        <f>'Raw OI Data'!I8</f>
        <v/>
      </c>
      <c r="I16" s="6">
        <f>'Raw OI Data'!I9</f>
        <v/>
      </c>
      <c r="J16" s="6">
        <f>'Raw OI Data'!I10</f>
        <v/>
      </c>
      <c r="K16" s="27" t="n"/>
      <c r="L16" s="6">
        <f>'Raw OI Data'!I11</f>
        <v/>
      </c>
      <c r="M16" s="6">
        <f>'Raw OI Data'!I12</f>
        <v/>
      </c>
      <c r="N16" s="6">
        <f>'Raw OI Data'!I13</f>
        <v/>
      </c>
      <c r="O16" s="6">
        <f>'Raw OI Data'!I14</f>
        <v/>
      </c>
      <c r="P16" s="27" t="n"/>
      <c r="Q16" s="6">
        <f>'Raw OI Data'!I15</f>
        <v/>
      </c>
      <c r="R16" s="6">
        <f>'Raw OI Data'!I16</f>
        <v/>
      </c>
      <c r="S16" s="6">
        <f>'Raw OI Data'!I17</f>
        <v/>
      </c>
      <c r="T16" s="6">
        <f>'Raw OI Data'!I18</f>
        <v/>
      </c>
      <c r="U16" s="27" t="n"/>
      <c r="V16" s="6">
        <f>'Raw OI Data'!I19</f>
        <v/>
      </c>
      <c r="W16" s="6">
        <f>'Raw OI Data'!I20</f>
        <v/>
      </c>
      <c r="X16" s="6">
        <f>'Raw OI Data'!I21</f>
        <v/>
      </c>
      <c r="Y16" s="6">
        <f>'Raw OI Data'!I22</f>
        <v/>
      </c>
      <c r="Z16" s="27" t="n"/>
    </row>
    <row r="17" ht="14" customHeight="1">
      <c r="A17" s="25" t="inlineStr">
        <is>
          <t>Net Call OI</t>
        </is>
      </c>
      <c r="B17" s="28">
        <f>'Raw OI Data'!G3-'Raw OI Data'!I3</f>
        <v/>
      </c>
      <c r="C17" s="28">
        <f>'Raw OI Data'!G4-'Raw OI Data'!I4</f>
        <v/>
      </c>
      <c r="D17" s="28">
        <f>'Raw OI Data'!G5-'Raw OI Data'!I5</f>
        <v/>
      </c>
      <c r="E17" s="28">
        <f>'Raw OI Data'!G6-'Raw OI Data'!I6</f>
        <v/>
      </c>
      <c r="F17" s="26" t="n"/>
      <c r="G17" s="28">
        <f>'Raw OI Data'!G7-'Raw OI Data'!I7</f>
        <v/>
      </c>
      <c r="H17" s="28">
        <f>'Raw OI Data'!G8-'Raw OI Data'!I8</f>
        <v/>
      </c>
      <c r="I17" s="28">
        <f>'Raw OI Data'!G9-'Raw OI Data'!I9</f>
        <v/>
      </c>
      <c r="J17" s="28">
        <f>'Raw OI Data'!G10-'Raw OI Data'!I10</f>
        <v/>
      </c>
      <c r="K17" s="26" t="n"/>
      <c r="L17" s="28">
        <f>'Raw OI Data'!G11-'Raw OI Data'!I11</f>
        <v/>
      </c>
      <c r="M17" s="28">
        <f>'Raw OI Data'!G12-'Raw OI Data'!I12</f>
        <v/>
      </c>
      <c r="N17" s="28">
        <f>'Raw OI Data'!G13-'Raw OI Data'!I13</f>
        <v/>
      </c>
      <c r="O17" s="28">
        <f>'Raw OI Data'!G14-'Raw OI Data'!I14</f>
        <v/>
      </c>
      <c r="P17" s="26" t="n"/>
      <c r="Q17" s="28">
        <f>'Raw OI Data'!G15-'Raw OI Data'!I15</f>
        <v/>
      </c>
      <c r="R17" s="28">
        <f>'Raw OI Data'!G16-'Raw OI Data'!I16</f>
        <v/>
      </c>
      <c r="S17" s="28">
        <f>'Raw OI Data'!G17-'Raw OI Data'!I17</f>
        <v/>
      </c>
      <c r="T17" s="28">
        <f>'Raw OI Data'!G18-'Raw OI Data'!I18</f>
        <v/>
      </c>
      <c r="U17" s="26" t="n"/>
      <c r="V17" s="28">
        <f>'Raw OI Data'!G19-'Raw OI Data'!I19</f>
        <v/>
      </c>
      <c r="W17" s="28">
        <f>'Raw OI Data'!G20-'Raw OI Data'!I20</f>
        <v/>
      </c>
      <c r="X17" s="28">
        <f>'Raw OI Data'!G21-'Raw OI Data'!I21</f>
        <v/>
      </c>
      <c r="Y17" s="28">
        <f>'Raw OI Data'!G22-'Raw OI Data'!I22</f>
        <v/>
      </c>
      <c r="Z17" s="26" t="n"/>
    </row>
    <row r="18" ht="16" customHeight="1">
      <c r="A18" s="14" t="inlineStr">
        <is>
          <t>OPTIONS — INDEX PUTS</t>
        </is>
      </c>
    </row>
    <row r="19" ht="14" customHeight="1">
      <c r="A19" s="25" t="inlineStr">
        <is>
          <t>Put Long OI</t>
        </is>
      </c>
      <c r="B19" s="4">
        <f>'Raw OI Data'!H3</f>
        <v/>
      </c>
      <c r="C19" s="4">
        <f>'Raw OI Data'!H4</f>
        <v/>
      </c>
      <c r="D19" s="4">
        <f>'Raw OI Data'!H5</f>
        <v/>
      </c>
      <c r="E19" s="4">
        <f>'Raw OI Data'!H6</f>
        <v/>
      </c>
      <c r="F19" s="26" t="n"/>
      <c r="G19" s="4">
        <f>'Raw OI Data'!H7</f>
        <v/>
      </c>
      <c r="H19" s="4">
        <f>'Raw OI Data'!H8</f>
        <v/>
      </c>
      <c r="I19" s="4">
        <f>'Raw OI Data'!H9</f>
        <v/>
      </c>
      <c r="J19" s="4">
        <f>'Raw OI Data'!H10</f>
        <v/>
      </c>
      <c r="K19" s="26" t="n"/>
      <c r="L19" s="4">
        <f>'Raw OI Data'!H11</f>
        <v/>
      </c>
      <c r="M19" s="4">
        <f>'Raw OI Data'!H12</f>
        <v/>
      </c>
      <c r="N19" s="4">
        <f>'Raw OI Data'!H13</f>
        <v/>
      </c>
      <c r="O19" s="4">
        <f>'Raw OI Data'!H14</f>
        <v/>
      </c>
      <c r="P19" s="26" t="n"/>
      <c r="Q19" s="4">
        <f>'Raw OI Data'!H15</f>
        <v/>
      </c>
      <c r="R19" s="4">
        <f>'Raw OI Data'!H16</f>
        <v/>
      </c>
      <c r="S19" s="4">
        <f>'Raw OI Data'!H17</f>
        <v/>
      </c>
      <c r="T19" s="4">
        <f>'Raw OI Data'!H18</f>
        <v/>
      </c>
      <c r="U19" s="26" t="n"/>
      <c r="V19" s="4">
        <f>'Raw OI Data'!H19</f>
        <v/>
      </c>
      <c r="W19" s="4">
        <f>'Raw OI Data'!H20</f>
        <v/>
      </c>
      <c r="X19" s="4">
        <f>'Raw OI Data'!H21</f>
        <v/>
      </c>
      <c r="Y19" s="4">
        <f>'Raw OI Data'!H22</f>
        <v/>
      </c>
      <c r="Z19" s="26" t="n"/>
    </row>
    <row r="20" ht="14" customHeight="1">
      <c r="A20" s="25" t="inlineStr">
        <is>
          <t>Put Short OI</t>
        </is>
      </c>
      <c r="B20" s="6">
        <f>'Raw OI Data'!J3</f>
        <v/>
      </c>
      <c r="C20" s="6">
        <f>'Raw OI Data'!J4</f>
        <v/>
      </c>
      <c r="D20" s="6">
        <f>'Raw OI Data'!J5</f>
        <v/>
      </c>
      <c r="E20" s="6">
        <f>'Raw OI Data'!J6</f>
        <v/>
      </c>
      <c r="F20" s="27" t="n"/>
      <c r="G20" s="6">
        <f>'Raw OI Data'!J7</f>
        <v/>
      </c>
      <c r="H20" s="6">
        <f>'Raw OI Data'!J8</f>
        <v/>
      </c>
      <c r="I20" s="6">
        <f>'Raw OI Data'!J9</f>
        <v/>
      </c>
      <c r="J20" s="6">
        <f>'Raw OI Data'!J10</f>
        <v/>
      </c>
      <c r="K20" s="27" t="n"/>
      <c r="L20" s="6">
        <f>'Raw OI Data'!J11</f>
        <v/>
      </c>
      <c r="M20" s="6">
        <f>'Raw OI Data'!J12</f>
        <v/>
      </c>
      <c r="N20" s="6">
        <f>'Raw OI Data'!J13</f>
        <v/>
      </c>
      <c r="O20" s="6">
        <f>'Raw OI Data'!J14</f>
        <v/>
      </c>
      <c r="P20" s="27" t="n"/>
      <c r="Q20" s="6">
        <f>'Raw OI Data'!J15</f>
        <v/>
      </c>
      <c r="R20" s="6">
        <f>'Raw OI Data'!J16</f>
        <v/>
      </c>
      <c r="S20" s="6">
        <f>'Raw OI Data'!J17</f>
        <v/>
      </c>
      <c r="T20" s="6">
        <f>'Raw OI Data'!J18</f>
        <v/>
      </c>
      <c r="U20" s="27" t="n"/>
      <c r="V20" s="6">
        <f>'Raw OI Data'!J19</f>
        <v/>
      </c>
      <c r="W20" s="6">
        <f>'Raw OI Data'!J20</f>
        <v/>
      </c>
      <c r="X20" s="6">
        <f>'Raw OI Data'!J21</f>
        <v/>
      </c>
      <c r="Y20" s="6">
        <f>'Raw OI Data'!J22</f>
        <v/>
      </c>
      <c r="Z20" s="27" t="n"/>
    </row>
    <row r="21" ht="14" customHeight="1">
      <c r="A21" s="25" t="inlineStr">
        <is>
          <t>Net Put OI</t>
        </is>
      </c>
      <c r="B21" s="28">
        <f>'Raw OI Data'!H3-'Raw OI Data'!J3</f>
        <v/>
      </c>
      <c r="C21" s="28">
        <f>'Raw OI Data'!H4-'Raw OI Data'!J4</f>
        <v/>
      </c>
      <c r="D21" s="28">
        <f>'Raw OI Data'!H5-'Raw OI Data'!J5</f>
        <v/>
      </c>
      <c r="E21" s="28">
        <f>'Raw OI Data'!H6-'Raw OI Data'!J6</f>
        <v/>
      </c>
      <c r="F21" s="26" t="n"/>
      <c r="G21" s="28">
        <f>'Raw OI Data'!H7-'Raw OI Data'!J7</f>
        <v/>
      </c>
      <c r="H21" s="28">
        <f>'Raw OI Data'!H8-'Raw OI Data'!J8</f>
        <v/>
      </c>
      <c r="I21" s="28">
        <f>'Raw OI Data'!H9-'Raw OI Data'!J9</f>
        <v/>
      </c>
      <c r="J21" s="28">
        <f>'Raw OI Data'!H10-'Raw OI Data'!J10</f>
        <v/>
      </c>
      <c r="K21" s="26" t="n"/>
      <c r="L21" s="28">
        <f>'Raw OI Data'!H11-'Raw OI Data'!J11</f>
        <v/>
      </c>
      <c r="M21" s="28">
        <f>'Raw OI Data'!H12-'Raw OI Data'!J12</f>
        <v/>
      </c>
      <c r="N21" s="28">
        <f>'Raw OI Data'!H13-'Raw OI Data'!J13</f>
        <v/>
      </c>
      <c r="O21" s="28">
        <f>'Raw OI Data'!H14-'Raw OI Data'!J14</f>
        <v/>
      </c>
      <c r="P21" s="26" t="n"/>
      <c r="Q21" s="28">
        <f>'Raw OI Data'!H15-'Raw OI Data'!J15</f>
        <v/>
      </c>
      <c r="R21" s="28">
        <f>'Raw OI Data'!H16-'Raw OI Data'!J16</f>
        <v/>
      </c>
      <c r="S21" s="28">
        <f>'Raw OI Data'!H17-'Raw OI Data'!J17</f>
        <v/>
      </c>
      <c r="T21" s="28">
        <f>'Raw OI Data'!H18-'Raw OI Data'!J18</f>
        <v/>
      </c>
      <c r="U21" s="26" t="n"/>
      <c r="V21" s="28">
        <f>'Raw OI Data'!H19-'Raw OI Data'!J19</f>
        <v/>
      </c>
      <c r="W21" s="28">
        <f>'Raw OI Data'!H20-'Raw OI Data'!J20</f>
        <v/>
      </c>
      <c r="X21" s="28">
        <f>'Raw OI Data'!H21-'Raw OI Data'!J21</f>
        <v/>
      </c>
      <c r="Y21" s="28">
        <f>'Raw OI Data'!H22-'Raw OI Data'!J22</f>
        <v/>
      </c>
      <c r="Z21" s="26" t="n"/>
    </row>
    <row r="22" ht="16" customHeight="1">
      <c r="A22" s="14" t="inlineStr">
        <is>
          <t>OPTIONS — STOCK CALLS</t>
        </is>
      </c>
    </row>
    <row r="23" ht="14" customHeight="1">
      <c r="A23" s="25" t="inlineStr">
        <is>
          <t>Call Long OI</t>
        </is>
      </c>
      <c r="B23" s="4">
        <f>'Raw OI Data'!K3</f>
        <v/>
      </c>
      <c r="C23" s="4">
        <f>'Raw OI Data'!K4</f>
        <v/>
      </c>
      <c r="D23" s="4">
        <f>'Raw OI Data'!K5</f>
        <v/>
      </c>
      <c r="E23" s="4">
        <f>'Raw OI Data'!K6</f>
        <v/>
      </c>
      <c r="F23" s="26" t="n"/>
      <c r="G23" s="4">
        <f>'Raw OI Data'!K7</f>
        <v/>
      </c>
      <c r="H23" s="4">
        <f>'Raw OI Data'!K8</f>
        <v/>
      </c>
      <c r="I23" s="4">
        <f>'Raw OI Data'!K9</f>
        <v/>
      </c>
      <c r="J23" s="4">
        <f>'Raw OI Data'!K10</f>
        <v/>
      </c>
      <c r="K23" s="26" t="n"/>
      <c r="L23" s="4">
        <f>'Raw OI Data'!K11</f>
        <v/>
      </c>
      <c r="M23" s="4">
        <f>'Raw OI Data'!K12</f>
        <v/>
      </c>
      <c r="N23" s="4">
        <f>'Raw OI Data'!K13</f>
        <v/>
      </c>
      <c r="O23" s="4">
        <f>'Raw OI Data'!K14</f>
        <v/>
      </c>
      <c r="P23" s="26" t="n"/>
      <c r="Q23" s="4">
        <f>'Raw OI Data'!K15</f>
        <v/>
      </c>
      <c r="R23" s="4">
        <f>'Raw OI Data'!K16</f>
        <v/>
      </c>
      <c r="S23" s="4">
        <f>'Raw OI Data'!K17</f>
        <v/>
      </c>
      <c r="T23" s="4">
        <f>'Raw OI Data'!K18</f>
        <v/>
      </c>
      <c r="U23" s="26" t="n"/>
      <c r="V23" s="4">
        <f>'Raw OI Data'!K19</f>
        <v/>
      </c>
      <c r="W23" s="4">
        <f>'Raw OI Data'!K20</f>
        <v/>
      </c>
      <c r="X23" s="4">
        <f>'Raw OI Data'!K21</f>
        <v/>
      </c>
      <c r="Y23" s="4">
        <f>'Raw OI Data'!K22</f>
        <v/>
      </c>
      <c r="Z23" s="26" t="n"/>
    </row>
    <row r="24" ht="14" customHeight="1">
      <c r="A24" s="25" t="inlineStr">
        <is>
          <t>Call Short OI</t>
        </is>
      </c>
      <c r="B24" s="6">
        <f>'Raw OI Data'!M3</f>
        <v/>
      </c>
      <c r="C24" s="6">
        <f>'Raw OI Data'!M4</f>
        <v/>
      </c>
      <c r="D24" s="6">
        <f>'Raw OI Data'!M5</f>
        <v/>
      </c>
      <c r="E24" s="6">
        <f>'Raw OI Data'!M6</f>
        <v/>
      </c>
      <c r="F24" s="27" t="n"/>
      <c r="G24" s="6">
        <f>'Raw OI Data'!M7</f>
        <v/>
      </c>
      <c r="H24" s="6">
        <f>'Raw OI Data'!M8</f>
        <v/>
      </c>
      <c r="I24" s="6">
        <f>'Raw OI Data'!M9</f>
        <v/>
      </c>
      <c r="J24" s="6">
        <f>'Raw OI Data'!M10</f>
        <v/>
      </c>
      <c r="K24" s="27" t="n"/>
      <c r="L24" s="6">
        <f>'Raw OI Data'!M11</f>
        <v/>
      </c>
      <c r="M24" s="6">
        <f>'Raw OI Data'!M12</f>
        <v/>
      </c>
      <c r="N24" s="6">
        <f>'Raw OI Data'!M13</f>
        <v/>
      </c>
      <c r="O24" s="6">
        <f>'Raw OI Data'!M14</f>
        <v/>
      </c>
      <c r="P24" s="27" t="n"/>
      <c r="Q24" s="6">
        <f>'Raw OI Data'!M15</f>
        <v/>
      </c>
      <c r="R24" s="6">
        <f>'Raw OI Data'!M16</f>
        <v/>
      </c>
      <c r="S24" s="6">
        <f>'Raw OI Data'!M17</f>
        <v/>
      </c>
      <c r="T24" s="6">
        <f>'Raw OI Data'!M18</f>
        <v/>
      </c>
      <c r="U24" s="27" t="n"/>
      <c r="V24" s="6">
        <f>'Raw OI Data'!M19</f>
        <v/>
      </c>
      <c r="W24" s="6">
        <f>'Raw OI Data'!M20</f>
        <v/>
      </c>
      <c r="X24" s="6">
        <f>'Raw OI Data'!M21</f>
        <v/>
      </c>
      <c r="Y24" s="6">
        <f>'Raw OI Data'!M22</f>
        <v/>
      </c>
      <c r="Z24" s="27" t="n"/>
    </row>
    <row r="25" ht="14" customHeight="1">
      <c r="A25" s="25" t="inlineStr">
        <is>
          <t>Net Call OI</t>
        </is>
      </c>
      <c r="B25" s="28">
        <f>'Raw OI Data'!K3-'Raw OI Data'!M3</f>
        <v/>
      </c>
      <c r="C25" s="28">
        <f>'Raw OI Data'!K4-'Raw OI Data'!M4</f>
        <v/>
      </c>
      <c r="D25" s="28">
        <f>'Raw OI Data'!K5-'Raw OI Data'!M5</f>
        <v/>
      </c>
      <c r="E25" s="28">
        <f>'Raw OI Data'!K6-'Raw OI Data'!M6</f>
        <v/>
      </c>
      <c r="F25" s="26" t="n"/>
      <c r="G25" s="28">
        <f>'Raw OI Data'!K7-'Raw OI Data'!M7</f>
        <v/>
      </c>
      <c r="H25" s="28">
        <f>'Raw OI Data'!K8-'Raw OI Data'!M8</f>
        <v/>
      </c>
      <c r="I25" s="28">
        <f>'Raw OI Data'!K9-'Raw OI Data'!M9</f>
        <v/>
      </c>
      <c r="J25" s="28">
        <f>'Raw OI Data'!K10-'Raw OI Data'!M10</f>
        <v/>
      </c>
      <c r="K25" s="26" t="n"/>
      <c r="L25" s="28">
        <f>'Raw OI Data'!K11-'Raw OI Data'!M11</f>
        <v/>
      </c>
      <c r="M25" s="28">
        <f>'Raw OI Data'!K12-'Raw OI Data'!M12</f>
        <v/>
      </c>
      <c r="N25" s="28">
        <f>'Raw OI Data'!K13-'Raw OI Data'!M13</f>
        <v/>
      </c>
      <c r="O25" s="28">
        <f>'Raw OI Data'!K14-'Raw OI Data'!M14</f>
        <v/>
      </c>
      <c r="P25" s="26" t="n"/>
      <c r="Q25" s="28">
        <f>'Raw OI Data'!K15-'Raw OI Data'!M15</f>
        <v/>
      </c>
      <c r="R25" s="28">
        <f>'Raw OI Data'!K16-'Raw OI Data'!M16</f>
        <v/>
      </c>
      <c r="S25" s="28">
        <f>'Raw OI Data'!K17-'Raw OI Data'!M17</f>
        <v/>
      </c>
      <c r="T25" s="28">
        <f>'Raw OI Data'!K18-'Raw OI Data'!M18</f>
        <v/>
      </c>
      <c r="U25" s="26" t="n"/>
      <c r="V25" s="28">
        <f>'Raw OI Data'!K19-'Raw OI Data'!M19</f>
        <v/>
      </c>
      <c r="W25" s="28">
        <f>'Raw OI Data'!K20-'Raw OI Data'!M20</f>
        <v/>
      </c>
      <c r="X25" s="28">
        <f>'Raw OI Data'!K21-'Raw OI Data'!M21</f>
        <v/>
      </c>
      <c r="Y25" s="28">
        <f>'Raw OI Data'!K22-'Raw OI Data'!M22</f>
        <v/>
      </c>
      <c r="Z25" s="26" t="n"/>
    </row>
    <row r="26" ht="16" customHeight="1">
      <c r="A26" s="14" t="inlineStr">
        <is>
          <t>OPTIONS — STOCK PUTS</t>
        </is>
      </c>
    </row>
    <row r="27" ht="14" customHeight="1">
      <c r="A27" s="25" t="inlineStr">
        <is>
          <t>Put Long OI</t>
        </is>
      </c>
      <c r="B27" s="4">
        <f>'Raw OI Data'!L3</f>
        <v/>
      </c>
      <c r="C27" s="4">
        <f>'Raw OI Data'!L4</f>
        <v/>
      </c>
      <c r="D27" s="4">
        <f>'Raw OI Data'!L5</f>
        <v/>
      </c>
      <c r="E27" s="4">
        <f>'Raw OI Data'!L6</f>
        <v/>
      </c>
      <c r="F27" s="26" t="n"/>
      <c r="G27" s="4">
        <f>'Raw OI Data'!L7</f>
        <v/>
      </c>
      <c r="H27" s="4">
        <f>'Raw OI Data'!L8</f>
        <v/>
      </c>
      <c r="I27" s="4">
        <f>'Raw OI Data'!L9</f>
        <v/>
      </c>
      <c r="J27" s="4">
        <f>'Raw OI Data'!L10</f>
        <v/>
      </c>
      <c r="K27" s="26" t="n"/>
      <c r="L27" s="4">
        <f>'Raw OI Data'!L11</f>
        <v/>
      </c>
      <c r="M27" s="4">
        <f>'Raw OI Data'!L12</f>
        <v/>
      </c>
      <c r="N27" s="4">
        <f>'Raw OI Data'!L13</f>
        <v/>
      </c>
      <c r="O27" s="4">
        <f>'Raw OI Data'!L14</f>
        <v/>
      </c>
      <c r="P27" s="26" t="n"/>
      <c r="Q27" s="4">
        <f>'Raw OI Data'!L15</f>
        <v/>
      </c>
      <c r="R27" s="4">
        <f>'Raw OI Data'!L16</f>
        <v/>
      </c>
      <c r="S27" s="4">
        <f>'Raw OI Data'!L17</f>
        <v/>
      </c>
      <c r="T27" s="4">
        <f>'Raw OI Data'!L18</f>
        <v/>
      </c>
      <c r="U27" s="26" t="n"/>
      <c r="V27" s="4">
        <f>'Raw OI Data'!L19</f>
        <v/>
      </c>
      <c r="W27" s="4">
        <f>'Raw OI Data'!L20</f>
        <v/>
      </c>
      <c r="X27" s="4">
        <f>'Raw OI Data'!L21</f>
        <v/>
      </c>
      <c r="Y27" s="4">
        <f>'Raw OI Data'!L22</f>
        <v/>
      </c>
      <c r="Z27" s="26" t="n"/>
    </row>
    <row r="28" ht="14" customHeight="1">
      <c r="A28" s="25" t="inlineStr">
        <is>
          <t>Put Short OI</t>
        </is>
      </c>
      <c r="B28" s="6">
        <f>'Raw OI Data'!N3</f>
        <v/>
      </c>
      <c r="C28" s="6">
        <f>'Raw OI Data'!N4</f>
        <v/>
      </c>
      <c r="D28" s="6">
        <f>'Raw OI Data'!N5</f>
        <v/>
      </c>
      <c r="E28" s="6">
        <f>'Raw OI Data'!N6</f>
        <v/>
      </c>
      <c r="F28" s="27" t="n"/>
      <c r="G28" s="6">
        <f>'Raw OI Data'!N7</f>
        <v/>
      </c>
      <c r="H28" s="6">
        <f>'Raw OI Data'!N8</f>
        <v/>
      </c>
      <c r="I28" s="6">
        <f>'Raw OI Data'!N9</f>
        <v/>
      </c>
      <c r="J28" s="6">
        <f>'Raw OI Data'!N10</f>
        <v/>
      </c>
      <c r="K28" s="27" t="n"/>
      <c r="L28" s="6">
        <f>'Raw OI Data'!N11</f>
        <v/>
      </c>
      <c r="M28" s="6">
        <f>'Raw OI Data'!N12</f>
        <v/>
      </c>
      <c r="N28" s="6">
        <f>'Raw OI Data'!N13</f>
        <v/>
      </c>
      <c r="O28" s="6">
        <f>'Raw OI Data'!N14</f>
        <v/>
      </c>
      <c r="P28" s="27" t="n"/>
      <c r="Q28" s="6">
        <f>'Raw OI Data'!N15</f>
        <v/>
      </c>
      <c r="R28" s="6">
        <f>'Raw OI Data'!N16</f>
        <v/>
      </c>
      <c r="S28" s="6">
        <f>'Raw OI Data'!N17</f>
        <v/>
      </c>
      <c r="T28" s="6">
        <f>'Raw OI Data'!N18</f>
        <v/>
      </c>
      <c r="U28" s="27" t="n"/>
      <c r="V28" s="6">
        <f>'Raw OI Data'!N19</f>
        <v/>
      </c>
      <c r="W28" s="6">
        <f>'Raw OI Data'!N20</f>
        <v/>
      </c>
      <c r="X28" s="6">
        <f>'Raw OI Data'!N21</f>
        <v/>
      </c>
      <c r="Y28" s="6">
        <f>'Raw OI Data'!N22</f>
        <v/>
      </c>
      <c r="Z28" s="27" t="n"/>
    </row>
    <row r="29" ht="14" customHeight="1">
      <c r="A29" s="25" t="inlineStr">
        <is>
          <t>Net Put OI</t>
        </is>
      </c>
      <c r="B29" s="28">
        <f>'Raw OI Data'!L3-'Raw OI Data'!N3</f>
        <v/>
      </c>
      <c r="C29" s="28">
        <f>'Raw OI Data'!L4-'Raw OI Data'!N4</f>
        <v/>
      </c>
      <c r="D29" s="28">
        <f>'Raw OI Data'!L5-'Raw OI Data'!N5</f>
        <v/>
      </c>
      <c r="E29" s="28">
        <f>'Raw OI Data'!L6-'Raw OI Data'!N6</f>
        <v/>
      </c>
      <c r="F29" s="26" t="n"/>
      <c r="G29" s="28">
        <f>'Raw OI Data'!L7-'Raw OI Data'!N7</f>
        <v/>
      </c>
      <c r="H29" s="28">
        <f>'Raw OI Data'!L8-'Raw OI Data'!N8</f>
        <v/>
      </c>
      <c r="I29" s="28">
        <f>'Raw OI Data'!L9-'Raw OI Data'!N9</f>
        <v/>
      </c>
      <c r="J29" s="28">
        <f>'Raw OI Data'!L10-'Raw OI Data'!N10</f>
        <v/>
      </c>
      <c r="K29" s="26" t="n"/>
      <c r="L29" s="28">
        <f>'Raw OI Data'!L11-'Raw OI Data'!N11</f>
        <v/>
      </c>
      <c r="M29" s="28">
        <f>'Raw OI Data'!L12-'Raw OI Data'!N12</f>
        <v/>
      </c>
      <c r="N29" s="28">
        <f>'Raw OI Data'!L13-'Raw OI Data'!N13</f>
        <v/>
      </c>
      <c r="O29" s="28">
        <f>'Raw OI Data'!L14-'Raw OI Data'!N14</f>
        <v/>
      </c>
      <c r="P29" s="26" t="n"/>
      <c r="Q29" s="28">
        <f>'Raw OI Data'!L15-'Raw OI Data'!N15</f>
        <v/>
      </c>
      <c r="R29" s="28">
        <f>'Raw OI Data'!L16-'Raw OI Data'!N16</f>
        <v/>
      </c>
      <c r="S29" s="28">
        <f>'Raw OI Data'!L17-'Raw OI Data'!N17</f>
        <v/>
      </c>
      <c r="T29" s="28">
        <f>'Raw OI Data'!L18-'Raw OI Data'!N18</f>
        <v/>
      </c>
      <c r="U29" s="26" t="n"/>
      <c r="V29" s="28">
        <f>'Raw OI Data'!L19-'Raw OI Data'!N19</f>
        <v/>
      </c>
      <c r="W29" s="28">
        <f>'Raw OI Data'!L20-'Raw OI Data'!N20</f>
        <v/>
      </c>
      <c r="X29" s="28">
        <f>'Raw OI Data'!L21-'Raw OI Data'!N21</f>
        <v/>
      </c>
      <c r="Y29" s="28">
        <f>'Raw OI Data'!L22-'Raw OI Data'!N22</f>
        <v/>
      </c>
      <c r="Z29" s="26" t="n"/>
    </row>
    <row r="30" ht="16" customHeight="1">
      <c r="A30" s="14" t="inlineStr">
        <is>
          <t>TOTAL POSITION</t>
        </is>
      </c>
    </row>
    <row r="31" ht="14" customHeight="1">
      <c r="A31" s="25" t="inlineStr">
        <is>
          <t>Total Long</t>
        </is>
      </c>
      <c r="B31" s="4">
        <f>'Raw OI Data'!O3</f>
        <v/>
      </c>
      <c r="C31" s="4">
        <f>'Raw OI Data'!O4</f>
        <v/>
      </c>
      <c r="D31" s="4">
        <f>'Raw OI Data'!O5</f>
        <v/>
      </c>
      <c r="E31" s="4">
        <f>'Raw OI Data'!O6</f>
        <v/>
      </c>
      <c r="F31" s="26" t="n"/>
      <c r="G31" s="4">
        <f>'Raw OI Data'!O7</f>
        <v/>
      </c>
      <c r="H31" s="4">
        <f>'Raw OI Data'!O8</f>
        <v/>
      </c>
      <c r="I31" s="4">
        <f>'Raw OI Data'!O9</f>
        <v/>
      </c>
      <c r="J31" s="4">
        <f>'Raw OI Data'!O10</f>
        <v/>
      </c>
      <c r="K31" s="26" t="n"/>
      <c r="L31" s="4">
        <f>'Raw OI Data'!O11</f>
        <v/>
      </c>
      <c r="M31" s="4">
        <f>'Raw OI Data'!O12</f>
        <v/>
      </c>
      <c r="N31" s="4">
        <f>'Raw OI Data'!O13</f>
        <v/>
      </c>
      <c r="O31" s="4">
        <f>'Raw OI Data'!O14</f>
        <v/>
      </c>
      <c r="P31" s="26" t="n"/>
      <c r="Q31" s="4">
        <f>'Raw OI Data'!O15</f>
        <v/>
      </c>
      <c r="R31" s="4">
        <f>'Raw OI Data'!O16</f>
        <v/>
      </c>
      <c r="S31" s="4">
        <f>'Raw OI Data'!O17</f>
        <v/>
      </c>
      <c r="T31" s="4">
        <f>'Raw OI Data'!O18</f>
        <v/>
      </c>
      <c r="U31" s="26" t="n"/>
      <c r="V31" s="4">
        <f>'Raw OI Data'!O19</f>
        <v/>
      </c>
      <c r="W31" s="4">
        <f>'Raw OI Data'!O20</f>
        <v/>
      </c>
      <c r="X31" s="4">
        <f>'Raw OI Data'!O21</f>
        <v/>
      </c>
      <c r="Y31" s="4">
        <f>'Raw OI Data'!O22</f>
        <v/>
      </c>
      <c r="Z31" s="26" t="n"/>
    </row>
    <row r="32" ht="14" customHeight="1">
      <c r="A32" s="25" t="inlineStr">
        <is>
          <t>Total Short</t>
        </is>
      </c>
      <c r="B32" s="6">
        <f>'Raw OI Data'!P3</f>
        <v/>
      </c>
      <c r="C32" s="6">
        <f>'Raw OI Data'!P4</f>
        <v/>
      </c>
      <c r="D32" s="6">
        <f>'Raw OI Data'!P5</f>
        <v/>
      </c>
      <c r="E32" s="6">
        <f>'Raw OI Data'!P6</f>
        <v/>
      </c>
      <c r="F32" s="27" t="n"/>
      <c r="G32" s="6">
        <f>'Raw OI Data'!P7</f>
        <v/>
      </c>
      <c r="H32" s="6">
        <f>'Raw OI Data'!P8</f>
        <v/>
      </c>
      <c r="I32" s="6">
        <f>'Raw OI Data'!P9</f>
        <v/>
      </c>
      <c r="J32" s="6">
        <f>'Raw OI Data'!P10</f>
        <v/>
      </c>
      <c r="K32" s="27" t="n"/>
      <c r="L32" s="6">
        <f>'Raw OI Data'!P11</f>
        <v/>
      </c>
      <c r="M32" s="6">
        <f>'Raw OI Data'!P12</f>
        <v/>
      </c>
      <c r="N32" s="6">
        <f>'Raw OI Data'!P13</f>
        <v/>
      </c>
      <c r="O32" s="6">
        <f>'Raw OI Data'!P14</f>
        <v/>
      </c>
      <c r="P32" s="27" t="n"/>
      <c r="Q32" s="6">
        <f>'Raw OI Data'!P15</f>
        <v/>
      </c>
      <c r="R32" s="6">
        <f>'Raw OI Data'!P16</f>
        <v/>
      </c>
      <c r="S32" s="6">
        <f>'Raw OI Data'!P17</f>
        <v/>
      </c>
      <c r="T32" s="6">
        <f>'Raw OI Data'!P18</f>
        <v/>
      </c>
      <c r="U32" s="27" t="n"/>
      <c r="V32" s="6">
        <f>'Raw OI Data'!P19</f>
        <v/>
      </c>
      <c r="W32" s="6">
        <f>'Raw OI Data'!P20</f>
        <v/>
      </c>
      <c r="X32" s="6">
        <f>'Raw OI Data'!P21</f>
        <v/>
      </c>
      <c r="Y32" s="6">
        <f>'Raw OI Data'!P22</f>
        <v/>
      </c>
      <c r="Z32" s="27" t="n"/>
    </row>
    <row r="33" ht="14" customHeight="1">
      <c r="A33" s="25" t="inlineStr">
        <is>
          <t>Net Total OI</t>
        </is>
      </c>
      <c r="B33" s="28">
        <f>'Raw OI Data'!O3-'Raw OI Data'!P3</f>
        <v/>
      </c>
      <c r="C33" s="28">
        <f>'Raw OI Data'!O4-'Raw OI Data'!P4</f>
        <v/>
      </c>
      <c r="D33" s="28">
        <f>'Raw OI Data'!O5-'Raw OI Data'!P5</f>
        <v/>
      </c>
      <c r="E33" s="28">
        <f>'Raw OI Data'!O6-'Raw OI Data'!P6</f>
        <v/>
      </c>
      <c r="F33" s="26" t="n"/>
      <c r="G33" s="28">
        <f>'Raw OI Data'!O7-'Raw OI Data'!P7</f>
        <v/>
      </c>
      <c r="H33" s="28">
        <f>'Raw OI Data'!O8-'Raw OI Data'!P8</f>
        <v/>
      </c>
      <c r="I33" s="28">
        <f>'Raw OI Data'!O9-'Raw OI Data'!P9</f>
        <v/>
      </c>
      <c r="J33" s="28">
        <f>'Raw OI Data'!O10-'Raw OI Data'!P10</f>
        <v/>
      </c>
      <c r="K33" s="26" t="n"/>
      <c r="L33" s="28">
        <f>'Raw OI Data'!O11-'Raw OI Data'!P11</f>
        <v/>
      </c>
      <c r="M33" s="28">
        <f>'Raw OI Data'!O12-'Raw OI Data'!P12</f>
        <v/>
      </c>
      <c r="N33" s="28">
        <f>'Raw OI Data'!O13-'Raw OI Data'!P13</f>
        <v/>
      </c>
      <c r="O33" s="28">
        <f>'Raw OI Data'!O14-'Raw OI Data'!P14</f>
        <v/>
      </c>
      <c r="P33" s="26" t="n"/>
      <c r="Q33" s="28">
        <f>'Raw OI Data'!O15-'Raw OI Data'!P15</f>
        <v/>
      </c>
      <c r="R33" s="28">
        <f>'Raw OI Data'!O16-'Raw OI Data'!P16</f>
        <v/>
      </c>
      <c r="S33" s="28">
        <f>'Raw OI Data'!O17-'Raw OI Data'!P17</f>
        <v/>
      </c>
      <c r="T33" s="28">
        <f>'Raw OI Data'!O18-'Raw OI Data'!P18</f>
        <v/>
      </c>
      <c r="U33" s="26" t="n"/>
      <c r="V33" s="28">
        <f>'Raw OI Data'!O19-'Raw OI Data'!P19</f>
        <v/>
      </c>
      <c r="W33" s="28">
        <f>'Raw OI Data'!O20-'Raw OI Data'!P20</f>
        <v/>
      </c>
      <c r="X33" s="28">
        <f>'Raw OI Data'!O21-'Raw OI Data'!P21</f>
        <v/>
      </c>
      <c r="Y33" s="28">
        <f>'Raw OI Data'!O22-'Raw OI Data'!P22</f>
        <v/>
      </c>
      <c r="Z33" s="26" t="n"/>
    </row>
    <row r="34" ht="14" customHeight="1">
      <c r="A34" s="25" t="inlineStr">
        <is>
          <t>L/S Ratio</t>
        </is>
      </c>
      <c r="B34" s="29">
        <f>IFERROR('Raw OI Data'!O3/'Raw OI Data'!P3,0)</f>
        <v/>
      </c>
      <c r="C34" s="29">
        <f>IFERROR('Raw OI Data'!O4/'Raw OI Data'!P4,0)</f>
        <v/>
      </c>
      <c r="D34" s="29">
        <f>IFERROR('Raw OI Data'!O5/'Raw OI Data'!P5,0)</f>
        <v/>
      </c>
      <c r="E34" s="29">
        <f>IFERROR('Raw OI Data'!O6/'Raw OI Data'!P6,0)</f>
        <v/>
      </c>
      <c r="F34" s="27" t="n"/>
      <c r="G34" s="29">
        <f>IFERROR('Raw OI Data'!O7/'Raw OI Data'!P7,0)</f>
        <v/>
      </c>
      <c r="H34" s="29">
        <f>IFERROR('Raw OI Data'!O8/'Raw OI Data'!P8,0)</f>
        <v/>
      </c>
      <c r="I34" s="29">
        <f>IFERROR('Raw OI Data'!O9/'Raw OI Data'!P9,0)</f>
        <v/>
      </c>
      <c r="J34" s="29">
        <f>IFERROR('Raw OI Data'!O10/'Raw OI Data'!P10,0)</f>
        <v/>
      </c>
      <c r="K34" s="27" t="n"/>
      <c r="L34" s="29">
        <f>IFERROR('Raw OI Data'!O11/'Raw OI Data'!P11,0)</f>
        <v/>
      </c>
      <c r="M34" s="29">
        <f>IFERROR('Raw OI Data'!O12/'Raw OI Data'!P12,0)</f>
        <v/>
      </c>
      <c r="N34" s="29">
        <f>IFERROR('Raw OI Data'!O13/'Raw OI Data'!P13,0)</f>
        <v/>
      </c>
      <c r="O34" s="29">
        <f>IFERROR('Raw OI Data'!O14/'Raw OI Data'!P14,0)</f>
        <v/>
      </c>
      <c r="P34" s="27" t="n"/>
      <c r="Q34" s="29">
        <f>IFERROR('Raw OI Data'!O15/'Raw OI Data'!P15,0)</f>
        <v/>
      </c>
      <c r="R34" s="29">
        <f>IFERROR('Raw OI Data'!O16/'Raw OI Data'!P16,0)</f>
        <v/>
      </c>
      <c r="S34" s="29">
        <f>IFERROR('Raw OI Data'!O17/'Raw OI Data'!P17,0)</f>
        <v/>
      </c>
      <c r="T34" s="29">
        <f>IFERROR('Raw OI Data'!O18/'Raw OI Data'!P18,0)</f>
        <v/>
      </c>
      <c r="U34" s="27" t="n"/>
      <c r="V34" s="29">
        <f>IFERROR('Raw OI Data'!O19/'Raw OI Data'!P19,0)</f>
        <v/>
      </c>
      <c r="W34" s="29">
        <f>IFERROR('Raw OI Data'!O20/'Raw OI Data'!P20,0)</f>
        <v/>
      </c>
      <c r="X34" s="29">
        <f>IFERROR('Raw OI Data'!O21/'Raw OI Data'!P21,0)</f>
        <v/>
      </c>
      <c r="Y34" s="29">
        <f>IFERROR('Raw OI Data'!O22/'Raw OI Data'!P22,0)</f>
        <v/>
      </c>
      <c r="Z34" s="27" t="n"/>
    </row>
    <row r="35" ht="14" customHeight="1">
      <c r="A35" s="25" t="inlineStr">
        <is>
          <t>% of Mkt Long</t>
        </is>
      </c>
      <c r="B35" s="30">
        <f>IFERROR('Raw OI Data'!O3/SUM('Raw OI Data'!O3,'Raw OI Data'!O4,'Raw OI Data'!O5,'Raw OI Data'!O6),0)</f>
        <v/>
      </c>
      <c r="C35" s="30">
        <f>IFERROR('Raw OI Data'!O4/SUM('Raw OI Data'!O3,'Raw OI Data'!O4,'Raw OI Data'!O5,'Raw OI Data'!O6),0)</f>
        <v/>
      </c>
      <c r="D35" s="30">
        <f>IFERROR('Raw OI Data'!O5/SUM('Raw OI Data'!O3,'Raw OI Data'!O4,'Raw OI Data'!O5,'Raw OI Data'!O6),0)</f>
        <v/>
      </c>
      <c r="E35" s="30">
        <f>IFERROR('Raw OI Data'!O6/SUM('Raw OI Data'!O3,'Raw OI Data'!O4,'Raw OI Data'!O5,'Raw OI Data'!O6),0)</f>
        <v/>
      </c>
      <c r="F35" s="26" t="n"/>
      <c r="G35" s="30">
        <f>IFERROR('Raw OI Data'!O7/SUM('Raw OI Data'!O7,'Raw OI Data'!O8,'Raw OI Data'!O9,'Raw OI Data'!O10),0)</f>
        <v/>
      </c>
      <c r="H35" s="30">
        <f>IFERROR('Raw OI Data'!O8/SUM('Raw OI Data'!O7,'Raw OI Data'!O8,'Raw OI Data'!O9,'Raw OI Data'!O10),0)</f>
        <v/>
      </c>
      <c r="I35" s="30">
        <f>IFERROR('Raw OI Data'!O9/SUM('Raw OI Data'!O7,'Raw OI Data'!O8,'Raw OI Data'!O9,'Raw OI Data'!O10),0)</f>
        <v/>
      </c>
      <c r="J35" s="30">
        <f>IFERROR('Raw OI Data'!O10/SUM('Raw OI Data'!O7,'Raw OI Data'!O8,'Raw OI Data'!O9,'Raw OI Data'!O10),0)</f>
        <v/>
      </c>
      <c r="K35" s="26" t="n"/>
      <c r="L35" s="30">
        <f>IFERROR('Raw OI Data'!O11/SUM('Raw OI Data'!O11,'Raw OI Data'!O12,'Raw OI Data'!O13,'Raw OI Data'!O14),0)</f>
        <v/>
      </c>
      <c r="M35" s="30">
        <f>IFERROR('Raw OI Data'!O12/SUM('Raw OI Data'!O11,'Raw OI Data'!O12,'Raw OI Data'!O13,'Raw OI Data'!O14),0)</f>
        <v/>
      </c>
      <c r="N35" s="30">
        <f>IFERROR('Raw OI Data'!O13/SUM('Raw OI Data'!O11,'Raw OI Data'!O12,'Raw OI Data'!O13,'Raw OI Data'!O14),0)</f>
        <v/>
      </c>
      <c r="O35" s="30">
        <f>IFERROR('Raw OI Data'!O14/SUM('Raw OI Data'!O11,'Raw OI Data'!O12,'Raw OI Data'!O13,'Raw OI Data'!O14),0)</f>
        <v/>
      </c>
      <c r="P35" s="26" t="n"/>
      <c r="Q35" s="30">
        <f>IFERROR('Raw OI Data'!O15/SUM('Raw OI Data'!O15,'Raw OI Data'!O16,'Raw OI Data'!O17,'Raw OI Data'!O18),0)</f>
        <v/>
      </c>
      <c r="R35" s="30">
        <f>IFERROR('Raw OI Data'!O16/SUM('Raw OI Data'!O15,'Raw OI Data'!O16,'Raw OI Data'!O17,'Raw OI Data'!O18),0)</f>
        <v/>
      </c>
      <c r="S35" s="30">
        <f>IFERROR('Raw OI Data'!O17/SUM('Raw OI Data'!O15,'Raw OI Data'!O16,'Raw OI Data'!O17,'Raw OI Data'!O18),0)</f>
        <v/>
      </c>
      <c r="T35" s="30">
        <f>IFERROR('Raw OI Data'!O18/SUM('Raw OI Data'!O15,'Raw OI Data'!O16,'Raw OI Data'!O17,'Raw OI Data'!O18),0)</f>
        <v/>
      </c>
      <c r="U35" s="26" t="n"/>
      <c r="V35" s="30">
        <f>IFERROR('Raw OI Data'!O19/SUM('Raw OI Data'!O19,'Raw OI Data'!O20,'Raw OI Data'!O21,'Raw OI Data'!O22),0)</f>
        <v/>
      </c>
      <c r="W35" s="30">
        <f>IFERROR('Raw OI Data'!O20/SUM('Raw OI Data'!O19,'Raw OI Data'!O20,'Raw OI Data'!O21,'Raw OI Data'!O22),0)</f>
        <v/>
      </c>
      <c r="X35" s="30">
        <f>IFERROR('Raw OI Data'!O21/SUM('Raw OI Data'!O19,'Raw OI Data'!O20,'Raw OI Data'!O21,'Raw OI Data'!O22),0)</f>
        <v/>
      </c>
      <c r="Y35" s="30">
        <f>IFERROR('Raw OI Data'!O22/SUM('Raw OI Data'!O19,'Raw OI Data'!O20,'Raw OI Data'!O21,'Raw OI Data'!O22),0)</f>
        <v/>
      </c>
      <c r="Z35" s="26" t="n"/>
    </row>
    <row r="36" ht="14" customHeight="1">
      <c r="A36" s="25" t="inlineStr">
        <is>
          <t>% of Mkt Short</t>
        </is>
      </c>
      <c r="B36" s="31">
        <f>IFERROR('Raw OI Data'!P3/SUM('Raw OI Data'!P3,'Raw OI Data'!P4,'Raw OI Data'!P5,'Raw OI Data'!P6),0)</f>
        <v/>
      </c>
      <c r="C36" s="31">
        <f>IFERROR('Raw OI Data'!P4/SUM('Raw OI Data'!P3,'Raw OI Data'!P4,'Raw OI Data'!P5,'Raw OI Data'!P6),0)</f>
        <v/>
      </c>
      <c r="D36" s="31">
        <f>IFERROR('Raw OI Data'!P5/SUM('Raw OI Data'!P3,'Raw OI Data'!P4,'Raw OI Data'!P5,'Raw OI Data'!P6),0)</f>
        <v/>
      </c>
      <c r="E36" s="31">
        <f>IFERROR('Raw OI Data'!P6/SUM('Raw OI Data'!P3,'Raw OI Data'!P4,'Raw OI Data'!P5,'Raw OI Data'!P6),0)</f>
        <v/>
      </c>
      <c r="F36" s="27" t="n"/>
      <c r="G36" s="31">
        <f>IFERROR('Raw OI Data'!P7/SUM('Raw OI Data'!P7,'Raw OI Data'!P8,'Raw OI Data'!P9,'Raw OI Data'!P10),0)</f>
        <v/>
      </c>
      <c r="H36" s="31">
        <f>IFERROR('Raw OI Data'!P8/SUM('Raw OI Data'!P7,'Raw OI Data'!P8,'Raw OI Data'!P9,'Raw OI Data'!P10),0)</f>
        <v/>
      </c>
      <c r="I36" s="31">
        <f>IFERROR('Raw OI Data'!P9/SUM('Raw OI Data'!P7,'Raw OI Data'!P8,'Raw OI Data'!P9,'Raw OI Data'!P10),0)</f>
        <v/>
      </c>
      <c r="J36" s="31">
        <f>IFERROR('Raw OI Data'!P10/SUM('Raw OI Data'!P7,'Raw OI Data'!P8,'Raw OI Data'!P9,'Raw OI Data'!P10),0)</f>
        <v/>
      </c>
      <c r="K36" s="27" t="n"/>
      <c r="L36" s="31">
        <f>IFERROR('Raw OI Data'!P11/SUM('Raw OI Data'!P11,'Raw OI Data'!P12,'Raw OI Data'!P13,'Raw OI Data'!P14),0)</f>
        <v/>
      </c>
      <c r="M36" s="31">
        <f>IFERROR('Raw OI Data'!P12/SUM('Raw OI Data'!P11,'Raw OI Data'!P12,'Raw OI Data'!P13,'Raw OI Data'!P14),0)</f>
        <v/>
      </c>
      <c r="N36" s="31">
        <f>IFERROR('Raw OI Data'!P13/SUM('Raw OI Data'!P11,'Raw OI Data'!P12,'Raw OI Data'!P13,'Raw OI Data'!P14),0)</f>
        <v/>
      </c>
      <c r="O36" s="31">
        <f>IFERROR('Raw OI Data'!P14/SUM('Raw OI Data'!P11,'Raw OI Data'!P12,'Raw OI Data'!P13,'Raw OI Data'!P14),0)</f>
        <v/>
      </c>
      <c r="P36" s="27" t="n"/>
      <c r="Q36" s="31">
        <f>IFERROR('Raw OI Data'!P15/SUM('Raw OI Data'!P15,'Raw OI Data'!P16,'Raw OI Data'!P17,'Raw OI Data'!P18),0)</f>
        <v/>
      </c>
      <c r="R36" s="31">
        <f>IFERROR('Raw OI Data'!P16/SUM('Raw OI Data'!P15,'Raw OI Data'!P16,'Raw OI Data'!P17,'Raw OI Data'!P18),0)</f>
        <v/>
      </c>
      <c r="S36" s="31">
        <f>IFERROR('Raw OI Data'!P17/SUM('Raw OI Data'!P15,'Raw OI Data'!P16,'Raw OI Data'!P17,'Raw OI Data'!P18),0)</f>
        <v/>
      </c>
      <c r="T36" s="31">
        <f>IFERROR('Raw OI Data'!P18/SUM('Raw OI Data'!P15,'Raw OI Data'!P16,'Raw OI Data'!P17,'Raw OI Data'!P18),0)</f>
        <v/>
      </c>
      <c r="U36" s="27" t="n"/>
      <c r="V36" s="31">
        <f>IFERROR('Raw OI Data'!P19/SUM('Raw OI Data'!P19,'Raw OI Data'!P20,'Raw OI Data'!P21,'Raw OI Data'!P22),0)</f>
        <v/>
      </c>
      <c r="W36" s="31">
        <f>IFERROR('Raw OI Data'!P20/SUM('Raw OI Data'!P19,'Raw OI Data'!P20,'Raw OI Data'!P21,'Raw OI Data'!P22),0)</f>
        <v/>
      </c>
      <c r="X36" s="31">
        <f>IFERROR('Raw OI Data'!P21/SUM('Raw OI Data'!P19,'Raw OI Data'!P20,'Raw OI Data'!P21,'Raw OI Data'!P22),0)</f>
        <v/>
      </c>
      <c r="Y36" s="31">
        <f>IFERROR('Raw OI Data'!P22/SUM('Raw OI Data'!P19,'Raw OI Data'!P20,'Raw OI Data'!P21,'Raw OI Data'!P22),0)</f>
        <v/>
      </c>
      <c r="Z36" s="27" t="n"/>
    </row>
  </sheetData>
  <mergeCells count="13">
    <mergeCell ref="A14:Z14"/>
    <mergeCell ref="A1:Z1"/>
    <mergeCell ref="A9:Z9"/>
    <mergeCell ref="A18:Z18"/>
    <mergeCell ref="A22:Z22"/>
    <mergeCell ref="V2:Y2"/>
    <mergeCell ref="L2:O2"/>
    <mergeCell ref="A4:Z4"/>
    <mergeCell ref="G2:J2"/>
    <mergeCell ref="A26:Z26"/>
    <mergeCell ref="B2:E2"/>
    <mergeCell ref="Q2:T2"/>
    <mergeCell ref="A30:Z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TV Dashboard</t>
        </is>
      </c>
    </row>
    <row r="2" ht="16" customHeight="1">
      <c r="A2" s="19" t="inlineStr">
        <is>
          <t>Metric</t>
        </is>
      </c>
      <c r="B2" s="19" t="inlineStr">
        <is>
          <t>Jun 30 2026</t>
        </is>
      </c>
      <c r="C2" s="20" t="n"/>
      <c r="D2" s="20" t="n"/>
      <c r="E2" s="20" t="n"/>
      <c r="F2" s="21" t="n"/>
      <c r="G2" s="19" t="inlineStr">
        <is>
          <t>Jul 01 2026</t>
        </is>
      </c>
      <c r="H2" s="20" t="n"/>
      <c r="I2" s="20" t="n"/>
      <c r="J2" s="20" t="n"/>
      <c r="K2" s="21" t="n"/>
      <c r="L2" s="19" t="inlineStr">
        <is>
          <t>Jul 02 2026</t>
        </is>
      </c>
      <c r="M2" s="20" t="n"/>
      <c r="N2" s="20" t="n"/>
      <c r="O2" s="20" t="n"/>
      <c r="P2" s="21" t="n"/>
      <c r="Q2" s="19" t="inlineStr">
        <is>
          <t>Jul 03 2026</t>
        </is>
      </c>
      <c r="R2" s="20" t="n"/>
      <c r="S2" s="20" t="n"/>
      <c r="T2" s="20" t="n"/>
      <c r="U2" s="21" t="n"/>
      <c r="V2" s="19" t="inlineStr">
        <is>
          <t>Jul 06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Buy Volume</t>
        </is>
      </c>
      <c r="B5" s="4">
        <f>'Raw TV Data'!C3</f>
        <v/>
      </c>
      <c r="C5" s="4">
        <f>'Raw TV Data'!C4</f>
        <v/>
      </c>
      <c r="D5" s="4">
        <f>'Raw TV Data'!C5</f>
        <v/>
      </c>
      <c r="E5" s="4">
        <f>'Raw TV Data'!C6</f>
        <v/>
      </c>
      <c r="F5" s="26" t="n"/>
      <c r="G5" s="4">
        <f>'Raw TV Data'!C7</f>
        <v/>
      </c>
      <c r="H5" s="4">
        <f>'Raw TV Data'!C8</f>
        <v/>
      </c>
      <c r="I5" s="4">
        <f>'Raw TV Data'!C9</f>
        <v/>
      </c>
      <c r="J5" s="4">
        <f>'Raw TV Data'!C10</f>
        <v/>
      </c>
      <c r="K5" s="26" t="n"/>
      <c r="L5" s="4">
        <f>'Raw TV Data'!C11</f>
        <v/>
      </c>
      <c r="M5" s="4">
        <f>'Raw TV Data'!C12</f>
        <v/>
      </c>
      <c r="N5" s="4">
        <f>'Raw TV Data'!C13</f>
        <v/>
      </c>
      <c r="O5" s="4">
        <f>'Raw TV Data'!C14</f>
        <v/>
      </c>
      <c r="P5" s="26" t="n"/>
      <c r="Q5" s="4">
        <f>'Raw TV Data'!C15</f>
        <v/>
      </c>
      <c r="R5" s="4">
        <f>'Raw TV Data'!C16</f>
        <v/>
      </c>
      <c r="S5" s="4">
        <f>'Raw TV Data'!C17</f>
        <v/>
      </c>
      <c r="T5" s="4">
        <f>'Raw TV Data'!C18</f>
        <v/>
      </c>
      <c r="U5" s="26" t="n"/>
      <c r="V5" s="4">
        <f>'Raw TV Data'!C19</f>
        <v/>
      </c>
      <c r="W5" s="4">
        <f>'Raw TV Data'!C20</f>
        <v/>
      </c>
      <c r="X5" s="4">
        <f>'Raw TV Data'!C21</f>
        <v/>
      </c>
      <c r="Y5" s="4">
        <f>'Raw TV Data'!C22</f>
        <v/>
      </c>
      <c r="Z5" s="26" t="n"/>
    </row>
    <row r="6" ht="14" customHeight="1">
      <c r="A6" s="25" t="inlineStr">
        <is>
          <t>Sell Volume</t>
        </is>
      </c>
      <c r="B6" s="6">
        <f>'Raw TV Data'!D3</f>
        <v/>
      </c>
      <c r="C6" s="6">
        <f>'Raw TV Data'!D4</f>
        <v/>
      </c>
      <c r="D6" s="6">
        <f>'Raw TV Data'!D5</f>
        <v/>
      </c>
      <c r="E6" s="6">
        <f>'Raw TV Data'!D6</f>
        <v/>
      </c>
      <c r="F6" s="27" t="n"/>
      <c r="G6" s="6">
        <f>'Raw TV Data'!D7</f>
        <v/>
      </c>
      <c r="H6" s="6">
        <f>'Raw TV Data'!D8</f>
        <v/>
      </c>
      <c r="I6" s="6">
        <f>'Raw TV Data'!D9</f>
        <v/>
      </c>
      <c r="J6" s="6">
        <f>'Raw TV Data'!D10</f>
        <v/>
      </c>
      <c r="K6" s="27" t="n"/>
      <c r="L6" s="6">
        <f>'Raw TV Data'!D11</f>
        <v/>
      </c>
      <c r="M6" s="6">
        <f>'Raw TV Data'!D12</f>
        <v/>
      </c>
      <c r="N6" s="6">
        <f>'Raw TV Data'!D13</f>
        <v/>
      </c>
      <c r="O6" s="6">
        <f>'Raw TV Data'!D14</f>
        <v/>
      </c>
      <c r="P6" s="27" t="n"/>
      <c r="Q6" s="6">
        <f>'Raw TV Data'!D15</f>
        <v/>
      </c>
      <c r="R6" s="6">
        <f>'Raw TV Data'!D16</f>
        <v/>
      </c>
      <c r="S6" s="6">
        <f>'Raw TV Data'!D17</f>
        <v/>
      </c>
      <c r="T6" s="6">
        <f>'Raw TV Data'!D18</f>
        <v/>
      </c>
      <c r="U6" s="27" t="n"/>
      <c r="V6" s="6">
        <f>'Raw TV Data'!D19</f>
        <v/>
      </c>
      <c r="W6" s="6">
        <f>'Raw TV Data'!D20</f>
        <v/>
      </c>
      <c r="X6" s="6">
        <f>'Raw TV Data'!D21</f>
        <v/>
      </c>
      <c r="Y6" s="6">
        <f>'Raw TV Data'!D22</f>
        <v/>
      </c>
      <c r="Z6" s="27" t="n"/>
    </row>
    <row r="7" ht="14" customHeight="1">
      <c r="A7" s="25" t="inlineStr">
        <is>
          <t>Net Volume (B−S)</t>
        </is>
      </c>
      <c r="B7" s="28">
        <f>'Raw TV Data'!C3-'Raw TV Data'!D3</f>
        <v/>
      </c>
      <c r="C7" s="28">
        <f>'Raw TV Data'!C4-'Raw TV Data'!D4</f>
        <v/>
      </c>
      <c r="D7" s="28">
        <f>'Raw TV Data'!C5-'Raw TV Data'!D5</f>
        <v/>
      </c>
      <c r="E7" s="28">
        <f>'Raw TV Data'!C6-'Raw TV Data'!D6</f>
        <v/>
      </c>
      <c r="F7" s="26" t="n"/>
      <c r="G7" s="28">
        <f>'Raw TV Data'!C7-'Raw TV Data'!D7</f>
        <v/>
      </c>
      <c r="H7" s="28">
        <f>'Raw TV Data'!C8-'Raw TV Data'!D8</f>
        <v/>
      </c>
      <c r="I7" s="28">
        <f>'Raw TV Data'!C9-'Raw TV Data'!D9</f>
        <v/>
      </c>
      <c r="J7" s="28">
        <f>'Raw TV Data'!C10-'Raw TV Data'!D10</f>
        <v/>
      </c>
      <c r="K7" s="26" t="n"/>
      <c r="L7" s="28">
        <f>'Raw TV Data'!C11-'Raw TV Data'!D11</f>
        <v/>
      </c>
      <c r="M7" s="28">
        <f>'Raw TV Data'!C12-'Raw TV Data'!D12</f>
        <v/>
      </c>
      <c r="N7" s="28">
        <f>'Raw TV Data'!C13-'Raw TV Data'!D13</f>
        <v/>
      </c>
      <c r="O7" s="28">
        <f>'Raw TV Data'!C14-'Raw TV Data'!D14</f>
        <v/>
      </c>
      <c r="P7" s="26" t="n"/>
      <c r="Q7" s="28">
        <f>'Raw TV Data'!C15-'Raw TV Data'!D15</f>
        <v/>
      </c>
      <c r="R7" s="28">
        <f>'Raw TV Data'!C16-'Raw TV Data'!D16</f>
        <v/>
      </c>
      <c r="S7" s="28">
        <f>'Raw TV Data'!C17-'Raw TV Data'!D17</f>
        <v/>
      </c>
      <c r="T7" s="28">
        <f>'Raw TV Data'!C18-'Raw TV Data'!D18</f>
        <v/>
      </c>
      <c r="U7" s="26" t="n"/>
      <c r="V7" s="28">
        <f>'Raw TV Data'!C19-'Raw TV Data'!D19</f>
        <v/>
      </c>
      <c r="W7" s="28">
        <f>'Raw TV Data'!C20-'Raw TV Data'!D20</f>
        <v/>
      </c>
      <c r="X7" s="28">
        <f>'Raw TV Data'!C21-'Raw TV Data'!D21</f>
        <v/>
      </c>
      <c r="Y7" s="28">
        <f>'Raw TV Data'!C22-'Raw TV Data'!D22</f>
        <v/>
      </c>
      <c r="Z7" s="26" t="n"/>
    </row>
    <row r="8" ht="16" customHeight="1">
      <c r="A8" s="14" t="inlineStr">
        <is>
          <t>FUTURES — STOCK</t>
        </is>
      </c>
    </row>
    <row r="9" ht="14" customHeight="1">
      <c r="A9" s="25" t="inlineStr">
        <is>
          <t>Buy Volume</t>
        </is>
      </c>
      <c r="B9" s="4">
        <f>'Raw TV Data'!E3</f>
        <v/>
      </c>
      <c r="C9" s="4">
        <f>'Raw TV Data'!E4</f>
        <v/>
      </c>
      <c r="D9" s="4">
        <f>'Raw TV Data'!E5</f>
        <v/>
      </c>
      <c r="E9" s="4">
        <f>'Raw TV Data'!E6</f>
        <v/>
      </c>
      <c r="F9" s="26" t="n"/>
      <c r="G9" s="4">
        <f>'Raw TV Data'!E7</f>
        <v/>
      </c>
      <c r="H9" s="4">
        <f>'Raw TV Data'!E8</f>
        <v/>
      </c>
      <c r="I9" s="4">
        <f>'Raw TV Data'!E9</f>
        <v/>
      </c>
      <c r="J9" s="4">
        <f>'Raw TV Data'!E10</f>
        <v/>
      </c>
      <c r="K9" s="26" t="n"/>
      <c r="L9" s="4">
        <f>'Raw TV Data'!E11</f>
        <v/>
      </c>
      <c r="M9" s="4">
        <f>'Raw TV Data'!E12</f>
        <v/>
      </c>
      <c r="N9" s="4">
        <f>'Raw TV Data'!E13</f>
        <v/>
      </c>
      <c r="O9" s="4">
        <f>'Raw TV Data'!E14</f>
        <v/>
      </c>
      <c r="P9" s="26" t="n"/>
      <c r="Q9" s="4">
        <f>'Raw TV Data'!E15</f>
        <v/>
      </c>
      <c r="R9" s="4">
        <f>'Raw TV Data'!E16</f>
        <v/>
      </c>
      <c r="S9" s="4">
        <f>'Raw TV Data'!E17</f>
        <v/>
      </c>
      <c r="T9" s="4">
        <f>'Raw TV Data'!E18</f>
        <v/>
      </c>
      <c r="U9" s="26" t="n"/>
      <c r="V9" s="4">
        <f>'Raw TV Data'!E19</f>
        <v/>
      </c>
      <c r="W9" s="4">
        <f>'Raw TV Data'!E20</f>
        <v/>
      </c>
      <c r="X9" s="4">
        <f>'Raw TV Data'!E21</f>
        <v/>
      </c>
      <c r="Y9" s="4">
        <f>'Raw TV Data'!E22</f>
        <v/>
      </c>
      <c r="Z9" s="26" t="n"/>
    </row>
    <row r="10" ht="14" customHeight="1">
      <c r="A10" s="25" t="inlineStr">
        <is>
          <t>Sell Volume</t>
        </is>
      </c>
      <c r="B10" s="6">
        <f>'Raw TV Data'!F3</f>
        <v/>
      </c>
      <c r="C10" s="6">
        <f>'Raw TV Data'!F4</f>
        <v/>
      </c>
      <c r="D10" s="6">
        <f>'Raw TV Data'!F5</f>
        <v/>
      </c>
      <c r="E10" s="6">
        <f>'Raw TV Data'!F6</f>
        <v/>
      </c>
      <c r="F10" s="27" t="n"/>
      <c r="G10" s="6">
        <f>'Raw TV Data'!F7</f>
        <v/>
      </c>
      <c r="H10" s="6">
        <f>'Raw TV Data'!F8</f>
        <v/>
      </c>
      <c r="I10" s="6">
        <f>'Raw TV Data'!F9</f>
        <v/>
      </c>
      <c r="J10" s="6">
        <f>'Raw TV Data'!F10</f>
        <v/>
      </c>
      <c r="K10" s="27" t="n"/>
      <c r="L10" s="6">
        <f>'Raw TV Data'!F11</f>
        <v/>
      </c>
      <c r="M10" s="6">
        <f>'Raw TV Data'!F12</f>
        <v/>
      </c>
      <c r="N10" s="6">
        <f>'Raw TV Data'!F13</f>
        <v/>
      </c>
      <c r="O10" s="6">
        <f>'Raw TV Data'!F14</f>
        <v/>
      </c>
      <c r="P10" s="27" t="n"/>
      <c r="Q10" s="6">
        <f>'Raw TV Data'!F15</f>
        <v/>
      </c>
      <c r="R10" s="6">
        <f>'Raw TV Data'!F16</f>
        <v/>
      </c>
      <c r="S10" s="6">
        <f>'Raw TV Data'!F17</f>
        <v/>
      </c>
      <c r="T10" s="6">
        <f>'Raw TV Data'!F18</f>
        <v/>
      </c>
      <c r="U10" s="27" t="n"/>
      <c r="V10" s="6">
        <f>'Raw TV Data'!F19</f>
        <v/>
      </c>
      <c r="W10" s="6">
        <f>'Raw TV Data'!F20</f>
        <v/>
      </c>
      <c r="X10" s="6">
        <f>'Raw TV Data'!F21</f>
        <v/>
      </c>
      <c r="Y10" s="6">
        <f>'Raw TV Data'!F22</f>
        <v/>
      </c>
      <c r="Z10" s="27" t="n"/>
    </row>
    <row r="11" ht="14" customHeight="1">
      <c r="A11" s="25" t="inlineStr">
        <is>
          <t>Net Volume (B−S)</t>
        </is>
      </c>
      <c r="B11" s="28">
        <f>'Raw TV Data'!E3-'Raw TV Data'!F3</f>
        <v/>
      </c>
      <c r="C11" s="28">
        <f>'Raw TV Data'!E4-'Raw TV Data'!F4</f>
        <v/>
      </c>
      <c r="D11" s="28">
        <f>'Raw TV Data'!E5-'Raw TV Data'!F5</f>
        <v/>
      </c>
      <c r="E11" s="28">
        <f>'Raw TV Data'!E6-'Raw TV Data'!F6</f>
        <v/>
      </c>
      <c r="F11" s="26" t="n"/>
      <c r="G11" s="28">
        <f>'Raw TV Data'!E7-'Raw TV Data'!F7</f>
        <v/>
      </c>
      <c r="H11" s="28">
        <f>'Raw TV Data'!E8-'Raw TV Data'!F8</f>
        <v/>
      </c>
      <c r="I11" s="28">
        <f>'Raw TV Data'!E9-'Raw TV Data'!F9</f>
        <v/>
      </c>
      <c r="J11" s="28">
        <f>'Raw TV Data'!E10-'Raw TV Data'!F10</f>
        <v/>
      </c>
      <c r="K11" s="26" t="n"/>
      <c r="L11" s="28">
        <f>'Raw TV Data'!E11-'Raw TV Data'!F11</f>
        <v/>
      </c>
      <c r="M11" s="28">
        <f>'Raw TV Data'!E12-'Raw TV Data'!F12</f>
        <v/>
      </c>
      <c r="N11" s="28">
        <f>'Raw TV Data'!E13-'Raw TV Data'!F13</f>
        <v/>
      </c>
      <c r="O11" s="28">
        <f>'Raw TV Data'!E14-'Raw TV Data'!F14</f>
        <v/>
      </c>
      <c r="P11" s="26" t="n"/>
      <c r="Q11" s="28">
        <f>'Raw TV Data'!E15-'Raw TV Data'!F15</f>
        <v/>
      </c>
      <c r="R11" s="28">
        <f>'Raw TV Data'!E16-'Raw TV Data'!F16</f>
        <v/>
      </c>
      <c r="S11" s="28">
        <f>'Raw TV Data'!E17-'Raw TV Data'!F17</f>
        <v/>
      </c>
      <c r="T11" s="28">
        <f>'Raw TV Data'!E18-'Raw TV Data'!F18</f>
        <v/>
      </c>
      <c r="U11" s="26" t="n"/>
      <c r="V11" s="28">
        <f>'Raw TV Data'!E19-'Raw TV Data'!F19</f>
        <v/>
      </c>
      <c r="W11" s="28">
        <f>'Raw TV Data'!E20-'Raw TV Data'!F20</f>
        <v/>
      </c>
      <c r="X11" s="28">
        <f>'Raw TV Data'!E21-'Raw TV Data'!F21</f>
        <v/>
      </c>
      <c r="Y11" s="28">
        <f>'Raw TV Data'!E22-'Raw TV Data'!F22</f>
        <v/>
      </c>
      <c r="Z11" s="26" t="n"/>
    </row>
    <row r="12" ht="16" customHeight="1">
      <c r="A12" s="14" t="inlineStr">
        <is>
          <t>OPTIONS — INDEX</t>
        </is>
      </c>
    </row>
    <row r="13" ht="14" customHeight="1">
      <c r="A13" s="25" t="inlineStr">
        <is>
          <t>Call Buy Volume</t>
        </is>
      </c>
      <c r="B13" s="4">
        <f>'Raw TV Data'!G3</f>
        <v/>
      </c>
      <c r="C13" s="4">
        <f>'Raw TV Data'!G4</f>
        <v/>
      </c>
      <c r="D13" s="4">
        <f>'Raw TV Data'!G5</f>
        <v/>
      </c>
      <c r="E13" s="4">
        <f>'Raw TV Data'!G6</f>
        <v/>
      </c>
      <c r="F13" s="26" t="n"/>
      <c r="G13" s="4">
        <f>'Raw TV Data'!G7</f>
        <v/>
      </c>
      <c r="H13" s="4">
        <f>'Raw TV Data'!G8</f>
        <v/>
      </c>
      <c r="I13" s="4">
        <f>'Raw TV Data'!G9</f>
        <v/>
      </c>
      <c r="J13" s="4">
        <f>'Raw TV Data'!G10</f>
        <v/>
      </c>
      <c r="K13" s="26" t="n"/>
      <c r="L13" s="4">
        <f>'Raw TV Data'!G11</f>
        <v/>
      </c>
      <c r="M13" s="4">
        <f>'Raw TV Data'!G12</f>
        <v/>
      </c>
      <c r="N13" s="4">
        <f>'Raw TV Data'!G13</f>
        <v/>
      </c>
      <c r="O13" s="4">
        <f>'Raw TV Data'!G14</f>
        <v/>
      </c>
      <c r="P13" s="26" t="n"/>
      <c r="Q13" s="4">
        <f>'Raw TV Data'!G15</f>
        <v/>
      </c>
      <c r="R13" s="4">
        <f>'Raw TV Data'!G16</f>
        <v/>
      </c>
      <c r="S13" s="4">
        <f>'Raw TV Data'!G17</f>
        <v/>
      </c>
      <c r="T13" s="4">
        <f>'Raw TV Data'!G18</f>
        <v/>
      </c>
      <c r="U13" s="26" t="n"/>
      <c r="V13" s="4">
        <f>'Raw TV Data'!G19</f>
        <v/>
      </c>
      <c r="W13" s="4">
        <f>'Raw TV Data'!G20</f>
        <v/>
      </c>
      <c r="X13" s="4">
        <f>'Raw TV Data'!G21</f>
        <v/>
      </c>
      <c r="Y13" s="4">
        <f>'Raw TV Data'!G22</f>
        <v/>
      </c>
      <c r="Z13" s="26" t="n"/>
    </row>
    <row r="14" ht="14" customHeight="1">
      <c r="A14" s="25" t="inlineStr">
        <is>
          <t>Put Buy Volume</t>
        </is>
      </c>
      <c r="B14" s="6">
        <f>'Raw TV Data'!H3</f>
        <v/>
      </c>
      <c r="C14" s="6">
        <f>'Raw TV Data'!H4</f>
        <v/>
      </c>
      <c r="D14" s="6">
        <f>'Raw TV Data'!H5</f>
        <v/>
      </c>
      <c r="E14" s="6">
        <f>'Raw TV Data'!H6</f>
        <v/>
      </c>
      <c r="F14" s="27" t="n"/>
      <c r="G14" s="6">
        <f>'Raw TV Data'!H7</f>
        <v/>
      </c>
      <c r="H14" s="6">
        <f>'Raw TV Data'!H8</f>
        <v/>
      </c>
      <c r="I14" s="6">
        <f>'Raw TV Data'!H9</f>
        <v/>
      </c>
      <c r="J14" s="6">
        <f>'Raw TV Data'!H10</f>
        <v/>
      </c>
      <c r="K14" s="27" t="n"/>
      <c r="L14" s="6">
        <f>'Raw TV Data'!H11</f>
        <v/>
      </c>
      <c r="M14" s="6">
        <f>'Raw TV Data'!H12</f>
        <v/>
      </c>
      <c r="N14" s="6">
        <f>'Raw TV Data'!H13</f>
        <v/>
      </c>
      <c r="O14" s="6">
        <f>'Raw TV Data'!H14</f>
        <v/>
      </c>
      <c r="P14" s="27" t="n"/>
      <c r="Q14" s="6">
        <f>'Raw TV Data'!H15</f>
        <v/>
      </c>
      <c r="R14" s="6">
        <f>'Raw TV Data'!H16</f>
        <v/>
      </c>
      <c r="S14" s="6">
        <f>'Raw TV Data'!H17</f>
        <v/>
      </c>
      <c r="T14" s="6">
        <f>'Raw TV Data'!H18</f>
        <v/>
      </c>
      <c r="U14" s="27" t="n"/>
      <c r="V14" s="6">
        <f>'Raw TV Data'!H19</f>
        <v/>
      </c>
      <c r="W14" s="6">
        <f>'Raw TV Data'!H20</f>
        <v/>
      </c>
      <c r="X14" s="6">
        <f>'Raw TV Data'!H21</f>
        <v/>
      </c>
      <c r="Y14" s="6">
        <f>'Raw TV Data'!H22</f>
        <v/>
      </c>
      <c r="Z14" s="27" t="n"/>
    </row>
    <row r="15" ht="14" customHeight="1">
      <c r="A15" s="25" t="inlineStr">
        <is>
          <t>Volume PCR</t>
        </is>
      </c>
      <c r="B15" s="18">
        <f>IFERROR('Raw TV Data'!H3/'Raw TV Data'!G3,0)</f>
        <v/>
      </c>
      <c r="C15" s="18">
        <f>IFERROR('Raw TV Data'!H4/'Raw TV Data'!G4,0)</f>
        <v/>
      </c>
      <c r="D15" s="18">
        <f>IFERROR('Raw TV Data'!H5/'Raw TV Data'!G5,0)</f>
        <v/>
      </c>
      <c r="E15" s="18">
        <f>IFERROR('Raw TV Data'!H6/'Raw TV Data'!G6,0)</f>
        <v/>
      </c>
      <c r="F15" s="26" t="n"/>
      <c r="G15" s="18">
        <f>IFERROR('Raw TV Data'!H7/'Raw TV Data'!G7,0)</f>
        <v/>
      </c>
      <c r="H15" s="18">
        <f>IFERROR('Raw TV Data'!H8/'Raw TV Data'!G8,0)</f>
        <v/>
      </c>
      <c r="I15" s="18">
        <f>IFERROR('Raw TV Data'!H9/'Raw TV Data'!G9,0)</f>
        <v/>
      </c>
      <c r="J15" s="18">
        <f>IFERROR('Raw TV Data'!H10/'Raw TV Data'!G10,0)</f>
        <v/>
      </c>
      <c r="K15" s="26" t="n"/>
      <c r="L15" s="18">
        <f>IFERROR('Raw TV Data'!H11/'Raw TV Data'!G11,0)</f>
        <v/>
      </c>
      <c r="M15" s="18">
        <f>IFERROR('Raw TV Data'!H12/'Raw TV Data'!G12,0)</f>
        <v/>
      </c>
      <c r="N15" s="18">
        <f>IFERROR('Raw TV Data'!H13/'Raw TV Data'!G13,0)</f>
        <v/>
      </c>
      <c r="O15" s="18">
        <f>IFERROR('Raw TV Data'!H14/'Raw TV Data'!G14,0)</f>
        <v/>
      </c>
      <c r="P15" s="26" t="n"/>
      <c r="Q15" s="18">
        <f>IFERROR('Raw TV Data'!H15/'Raw TV Data'!G15,0)</f>
        <v/>
      </c>
      <c r="R15" s="18">
        <f>IFERROR('Raw TV Data'!H16/'Raw TV Data'!G16,0)</f>
        <v/>
      </c>
      <c r="S15" s="18">
        <f>IFERROR('Raw TV Data'!H17/'Raw TV Data'!G17,0)</f>
        <v/>
      </c>
      <c r="T15" s="18">
        <f>IFERROR('Raw TV Data'!H18/'Raw TV Data'!G18,0)</f>
        <v/>
      </c>
      <c r="U15" s="26" t="n"/>
      <c r="V15" s="18">
        <f>IFERROR('Raw TV Data'!H19/'Raw TV Data'!G19,0)</f>
        <v/>
      </c>
      <c r="W15" s="18">
        <f>IFERROR('Raw TV Data'!H20/'Raw TV Data'!G20,0)</f>
        <v/>
      </c>
      <c r="X15" s="18">
        <f>IFERROR('Raw TV Data'!H21/'Raw TV Data'!G21,0)</f>
        <v/>
      </c>
      <c r="Y15" s="18">
        <f>IFERROR('Raw TV Data'!H22/'Raw TV Data'!G22,0)</f>
        <v/>
      </c>
      <c r="Z15" s="26" t="n"/>
    </row>
    <row r="16" ht="14" customHeight="1">
      <c r="A16" s="25" t="inlineStr">
        <is>
          <t>Call Sell Volume</t>
        </is>
      </c>
      <c r="B16" s="6">
        <f>'Raw TV Data'!I3</f>
        <v/>
      </c>
      <c r="C16" s="6">
        <f>'Raw TV Data'!I4</f>
        <v/>
      </c>
      <c r="D16" s="6">
        <f>'Raw TV Data'!I5</f>
        <v/>
      </c>
      <c r="E16" s="6">
        <f>'Raw TV Data'!I6</f>
        <v/>
      </c>
      <c r="F16" s="27" t="n"/>
      <c r="G16" s="6">
        <f>'Raw TV Data'!I7</f>
        <v/>
      </c>
      <c r="H16" s="6">
        <f>'Raw TV Data'!I8</f>
        <v/>
      </c>
      <c r="I16" s="6">
        <f>'Raw TV Data'!I9</f>
        <v/>
      </c>
      <c r="J16" s="6">
        <f>'Raw TV Data'!I10</f>
        <v/>
      </c>
      <c r="K16" s="27" t="n"/>
      <c r="L16" s="6">
        <f>'Raw TV Data'!I11</f>
        <v/>
      </c>
      <c r="M16" s="6">
        <f>'Raw TV Data'!I12</f>
        <v/>
      </c>
      <c r="N16" s="6">
        <f>'Raw TV Data'!I13</f>
        <v/>
      </c>
      <c r="O16" s="6">
        <f>'Raw TV Data'!I14</f>
        <v/>
      </c>
      <c r="P16" s="27" t="n"/>
      <c r="Q16" s="6">
        <f>'Raw TV Data'!I15</f>
        <v/>
      </c>
      <c r="R16" s="6">
        <f>'Raw TV Data'!I16</f>
        <v/>
      </c>
      <c r="S16" s="6">
        <f>'Raw TV Data'!I17</f>
        <v/>
      </c>
      <c r="T16" s="6">
        <f>'Raw TV Data'!I18</f>
        <v/>
      </c>
      <c r="U16" s="27" t="n"/>
      <c r="V16" s="6">
        <f>'Raw TV Data'!I19</f>
        <v/>
      </c>
      <c r="W16" s="6">
        <f>'Raw TV Data'!I20</f>
        <v/>
      </c>
      <c r="X16" s="6">
        <f>'Raw TV Data'!I21</f>
        <v/>
      </c>
      <c r="Y16" s="6">
        <f>'Raw TV Data'!I22</f>
        <v/>
      </c>
      <c r="Z16" s="27" t="n"/>
    </row>
    <row r="17" ht="14" customHeight="1">
      <c r="A17" s="25" t="inlineStr">
        <is>
          <t>Put Sell Volume</t>
        </is>
      </c>
      <c r="B17" s="4">
        <f>'Raw TV Data'!J3</f>
        <v/>
      </c>
      <c r="C17" s="4">
        <f>'Raw TV Data'!J4</f>
        <v/>
      </c>
      <c r="D17" s="4">
        <f>'Raw TV Data'!J5</f>
        <v/>
      </c>
      <c r="E17" s="4">
        <f>'Raw TV Data'!J6</f>
        <v/>
      </c>
      <c r="F17" s="26" t="n"/>
      <c r="G17" s="4">
        <f>'Raw TV Data'!J7</f>
        <v/>
      </c>
      <c r="H17" s="4">
        <f>'Raw TV Data'!J8</f>
        <v/>
      </c>
      <c r="I17" s="4">
        <f>'Raw TV Data'!J9</f>
        <v/>
      </c>
      <c r="J17" s="4">
        <f>'Raw TV Data'!J10</f>
        <v/>
      </c>
      <c r="K17" s="26" t="n"/>
      <c r="L17" s="4">
        <f>'Raw TV Data'!J11</f>
        <v/>
      </c>
      <c r="M17" s="4">
        <f>'Raw TV Data'!J12</f>
        <v/>
      </c>
      <c r="N17" s="4">
        <f>'Raw TV Data'!J13</f>
        <v/>
      </c>
      <c r="O17" s="4">
        <f>'Raw TV Data'!J14</f>
        <v/>
      </c>
      <c r="P17" s="26" t="n"/>
      <c r="Q17" s="4">
        <f>'Raw TV Data'!J15</f>
        <v/>
      </c>
      <c r="R17" s="4">
        <f>'Raw TV Data'!J16</f>
        <v/>
      </c>
      <c r="S17" s="4">
        <f>'Raw TV Data'!J17</f>
        <v/>
      </c>
      <c r="T17" s="4">
        <f>'Raw TV Data'!J18</f>
        <v/>
      </c>
      <c r="U17" s="26" t="n"/>
      <c r="V17" s="4">
        <f>'Raw TV Data'!J19</f>
        <v/>
      </c>
      <c r="W17" s="4">
        <f>'Raw TV Data'!J20</f>
        <v/>
      </c>
      <c r="X17" s="4">
        <f>'Raw TV Data'!J21</f>
        <v/>
      </c>
      <c r="Y17" s="4">
        <f>'Raw TV Data'!J22</f>
        <v/>
      </c>
      <c r="Z17" s="26" t="n"/>
    </row>
    <row r="18" ht="16" customHeight="1">
      <c r="A18" s="14" t="inlineStr">
        <is>
          <t>OPTIONS — STOCK</t>
        </is>
      </c>
    </row>
    <row r="19" ht="14" customHeight="1">
      <c r="A19" s="25" t="inlineStr">
        <is>
          <t>Call Buy Volume</t>
        </is>
      </c>
      <c r="B19" s="4">
        <f>'Raw TV Data'!K3</f>
        <v/>
      </c>
      <c r="C19" s="4">
        <f>'Raw TV Data'!K4</f>
        <v/>
      </c>
      <c r="D19" s="4">
        <f>'Raw TV Data'!K5</f>
        <v/>
      </c>
      <c r="E19" s="4">
        <f>'Raw TV Data'!K6</f>
        <v/>
      </c>
      <c r="F19" s="26" t="n"/>
      <c r="G19" s="4">
        <f>'Raw TV Data'!K7</f>
        <v/>
      </c>
      <c r="H19" s="4">
        <f>'Raw TV Data'!K8</f>
        <v/>
      </c>
      <c r="I19" s="4">
        <f>'Raw TV Data'!K9</f>
        <v/>
      </c>
      <c r="J19" s="4">
        <f>'Raw TV Data'!K10</f>
        <v/>
      </c>
      <c r="K19" s="26" t="n"/>
      <c r="L19" s="4">
        <f>'Raw TV Data'!K11</f>
        <v/>
      </c>
      <c r="M19" s="4">
        <f>'Raw TV Data'!K12</f>
        <v/>
      </c>
      <c r="N19" s="4">
        <f>'Raw TV Data'!K13</f>
        <v/>
      </c>
      <c r="O19" s="4">
        <f>'Raw TV Data'!K14</f>
        <v/>
      </c>
      <c r="P19" s="26" t="n"/>
      <c r="Q19" s="4">
        <f>'Raw TV Data'!K15</f>
        <v/>
      </c>
      <c r="R19" s="4">
        <f>'Raw TV Data'!K16</f>
        <v/>
      </c>
      <c r="S19" s="4">
        <f>'Raw TV Data'!K17</f>
        <v/>
      </c>
      <c r="T19" s="4">
        <f>'Raw TV Data'!K18</f>
        <v/>
      </c>
      <c r="U19" s="26" t="n"/>
      <c r="V19" s="4">
        <f>'Raw TV Data'!K19</f>
        <v/>
      </c>
      <c r="W19" s="4">
        <f>'Raw TV Data'!K20</f>
        <v/>
      </c>
      <c r="X19" s="4">
        <f>'Raw TV Data'!K21</f>
        <v/>
      </c>
      <c r="Y19" s="4">
        <f>'Raw TV Data'!K22</f>
        <v/>
      </c>
      <c r="Z19" s="26" t="n"/>
    </row>
    <row r="20" ht="14" customHeight="1">
      <c r="A20" s="25" t="inlineStr">
        <is>
          <t>Put Buy Volume</t>
        </is>
      </c>
      <c r="B20" s="6">
        <f>'Raw TV Data'!L3</f>
        <v/>
      </c>
      <c r="C20" s="6">
        <f>'Raw TV Data'!L4</f>
        <v/>
      </c>
      <c r="D20" s="6">
        <f>'Raw TV Data'!L5</f>
        <v/>
      </c>
      <c r="E20" s="6">
        <f>'Raw TV Data'!L6</f>
        <v/>
      </c>
      <c r="F20" s="27" t="n"/>
      <c r="G20" s="6">
        <f>'Raw TV Data'!L7</f>
        <v/>
      </c>
      <c r="H20" s="6">
        <f>'Raw TV Data'!L8</f>
        <v/>
      </c>
      <c r="I20" s="6">
        <f>'Raw TV Data'!L9</f>
        <v/>
      </c>
      <c r="J20" s="6">
        <f>'Raw TV Data'!L10</f>
        <v/>
      </c>
      <c r="K20" s="27" t="n"/>
      <c r="L20" s="6">
        <f>'Raw TV Data'!L11</f>
        <v/>
      </c>
      <c r="M20" s="6">
        <f>'Raw TV Data'!L12</f>
        <v/>
      </c>
      <c r="N20" s="6">
        <f>'Raw TV Data'!L13</f>
        <v/>
      </c>
      <c r="O20" s="6">
        <f>'Raw TV Data'!L14</f>
        <v/>
      </c>
      <c r="P20" s="27" t="n"/>
      <c r="Q20" s="6">
        <f>'Raw TV Data'!L15</f>
        <v/>
      </c>
      <c r="R20" s="6">
        <f>'Raw TV Data'!L16</f>
        <v/>
      </c>
      <c r="S20" s="6">
        <f>'Raw TV Data'!L17</f>
        <v/>
      </c>
      <c r="T20" s="6">
        <f>'Raw TV Data'!L18</f>
        <v/>
      </c>
      <c r="U20" s="27" t="n"/>
      <c r="V20" s="6">
        <f>'Raw TV Data'!L19</f>
        <v/>
      </c>
      <c r="W20" s="6">
        <f>'Raw TV Data'!L20</f>
        <v/>
      </c>
      <c r="X20" s="6">
        <f>'Raw TV Data'!L21</f>
        <v/>
      </c>
      <c r="Y20" s="6">
        <f>'Raw TV Data'!L22</f>
        <v/>
      </c>
      <c r="Z20" s="27" t="n"/>
    </row>
    <row r="21" ht="14" customHeight="1">
      <c r="A21" s="25" t="inlineStr">
        <is>
          <t>Volume PCR</t>
        </is>
      </c>
      <c r="B21" s="18">
        <f>IFERROR('Raw TV Data'!L3/'Raw TV Data'!K3,0)</f>
        <v/>
      </c>
      <c r="C21" s="18">
        <f>IFERROR('Raw TV Data'!L4/'Raw TV Data'!K4,0)</f>
        <v/>
      </c>
      <c r="D21" s="18">
        <f>IFERROR('Raw TV Data'!L5/'Raw TV Data'!K5,0)</f>
        <v/>
      </c>
      <c r="E21" s="18">
        <f>IFERROR('Raw TV Data'!L6/'Raw TV Data'!K6,0)</f>
        <v/>
      </c>
      <c r="F21" s="26" t="n"/>
      <c r="G21" s="18">
        <f>IFERROR('Raw TV Data'!L7/'Raw TV Data'!K7,0)</f>
        <v/>
      </c>
      <c r="H21" s="18">
        <f>IFERROR('Raw TV Data'!L8/'Raw TV Data'!K8,0)</f>
        <v/>
      </c>
      <c r="I21" s="18">
        <f>IFERROR('Raw TV Data'!L9/'Raw TV Data'!K9,0)</f>
        <v/>
      </c>
      <c r="J21" s="18">
        <f>IFERROR('Raw TV Data'!L10/'Raw TV Data'!K10,0)</f>
        <v/>
      </c>
      <c r="K21" s="26" t="n"/>
      <c r="L21" s="18">
        <f>IFERROR('Raw TV Data'!L11/'Raw TV Data'!K11,0)</f>
        <v/>
      </c>
      <c r="M21" s="18">
        <f>IFERROR('Raw TV Data'!L12/'Raw TV Data'!K12,0)</f>
        <v/>
      </c>
      <c r="N21" s="18">
        <f>IFERROR('Raw TV Data'!L13/'Raw TV Data'!K13,0)</f>
        <v/>
      </c>
      <c r="O21" s="18">
        <f>IFERROR('Raw TV Data'!L14/'Raw TV Data'!K14,0)</f>
        <v/>
      </c>
      <c r="P21" s="26" t="n"/>
      <c r="Q21" s="18">
        <f>IFERROR('Raw TV Data'!L15/'Raw TV Data'!K15,0)</f>
        <v/>
      </c>
      <c r="R21" s="18">
        <f>IFERROR('Raw TV Data'!L16/'Raw TV Data'!K16,0)</f>
        <v/>
      </c>
      <c r="S21" s="18">
        <f>IFERROR('Raw TV Data'!L17/'Raw TV Data'!K17,0)</f>
        <v/>
      </c>
      <c r="T21" s="18">
        <f>IFERROR('Raw TV Data'!L18/'Raw TV Data'!K18,0)</f>
        <v/>
      </c>
      <c r="U21" s="26" t="n"/>
      <c r="V21" s="18">
        <f>IFERROR('Raw TV Data'!L19/'Raw TV Data'!K19,0)</f>
        <v/>
      </c>
      <c r="W21" s="18">
        <f>IFERROR('Raw TV Data'!L20/'Raw TV Data'!K20,0)</f>
        <v/>
      </c>
      <c r="X21" s="18">
        <f>IFERROR('Raw TV Data'!L21/'Raw TV Data'!K21,0)</f>
        <v/>
      </c>
      <c r="Y21" s="18">
        <f>IFERROR('Raw TV Data'!L22/'Raw TV Data'!K22,0)</f>
        <v/>
      </c>
      <c r="Z21" s="26" t="n"/>
    </row>
    <row r="22" ht="14" customHeight="1">
      <c r="A22" s="25" t="inlineStr">
        <is>
          <t>Call Sell Volume</t>
        </is>
      </c>
      <c r="B22" s="6">
        <f>'Raw TV Data'!M3</f>
        <v/>
      </c>
      <c r="C22" s="6">
        <f>'Raw TV Data'!M4</f>
        <v/>
      </c>
      <c r="D22" s="6">
        <f>'Raw TV Data'!M5</f>
        <v/>
      </c>
      <c r="E22" s="6">
        <f>'Raw TV Data'!M6</f>
        <v/>
      </c>
      <c r="F22" s="27" t="n"/>
      <c r="G22" s="6">
        <f>'Raw TV Data'!M7</f>
        <v/>
      </c>
      <c r="H22" s="6">
        <f>'Raw TV Data'!M8</f>
        <v/>
      </c>
      <c r="I22" s="6">
        <f>'Raw TV Data'!M9</f>
        <v/>
      </c>
      <c r="J22" s="6">
        <f>'Raw TV Data'!M10</f>
        <v/>
      </c>
      <c r="K22" s="27" t="n"/>
      <c r="L22" s="6">
        <f>'Raw TV Data'!M11</f>
        <v/>
      </c>
      <c r="M22" s="6">
        <f>'Raw TV Data'!M12</f>
        <v/>
      </c>
      <c r="N22" s="6">
        <f>'Raw TV Data'!M13</f>
        <v/>
      </c>
      <c r="O22" s="6">
        <f>'Raw TV Data'!M14</f>
        <v/>
      </c>
      <c r="P22" s="27" t="n"/>
      <c r="Q22" s="6">
        <f>'Raw TV Data'!M15</f>
        <v/>
      </c>
      <c r="R22" s="6">
        <f>'Raw TV Data'!M16</f>
        <v/>
      </c>
      <c r="S22" s="6">
        <f>'Raw TV Data'!M17</f>
        <v/>
      </c>
      <c r="T22" s="6">
        <f>'Raw TV Data'!M18</f>
        <v/>
      </c>
      <c r="U22" s="27" t="n"/>
      <c r="V22" s="6">
        <f>'Raw TV Data'!M19</f>
        <v/>
      </c>
      <c r="W22" s="6">
        <f>'Raw TV Data'!M20</f>
        <v/>
      </c>
      <c r="X22" s="6">
        <f>'Raw TV Data'!M21</f>
        <v/>
      </c>
      <c r="Y22" s="6">
        <f>'Raw TV Data'!M22</f>
        <v/>
      </c>
      <c r="Z22" s="27" t="n"/>
    </row>
    <row r="23" ht="14" customHeight="1">
      <c r="A23" s="25" t="inlineStr">
        <is>
          <t>Put Sell Volume</t>
        </is>
      </c>
      <c r="B23" s="4">
        <f>'Raw TV Data'!N3</f>
        <v/>
      </c>
      <c r="C23" s="4">
        <f>'Raw TV Data'!N4</f>
        <v/>
      </c>
      <c r="D23" s="4">
        <f>'Raw TV Data'!N5</f>
        <v/>
      </c>
      <c r="E23" s="4">
        <f>'Raw TV Data'!N6</f>
        <v/>
      </c>
      <c r="F23" s="26" t="n"/>
      <c r="G23" s="4">
        <f>'Raw TV Data'!N7</f>
        <v/>
      </c>
      <c r="H23" s="4">
        <f>'Raw TV Data'!N8</f>
        <v/>
      </c>
      <c r="I23" s="4">
        <f>'Raw TV Data'!N9</f>
        <v/>
      </c>
      <c r="J23" s="4">
        <f>'Raw TV Data'!N10</f>
        <v/>
      </c>
      <c r="K23" s="26" t="n"/>
      <c r="L23" s="4">
        <f>'Raw TV Data'!N11</f>
        <v/>
      </c>
      <c r="M23" s="4">
        <f>'Raw TV Data'!N12</f>
        <v/>
      </c>
      <c r="N23" s="4">
        <f>'Raw TV Data'!N13</f>
        <v/>
      </c>
      <c r="O23" s="4">
        <f>'Raw TV Data'!N14</f>
        <v/>
      </c>
      <c r="P23" s="26" t="n"/>
      <c r="Q23" s="4">
        <f>'Raw TV Data'!N15</f>
        <v/>
      </c>
      <c r="R23" s="4">
        <f>'Raw TV Data'!N16</f>
        <v/>
      </c>
      <c r="S23" s="4">
        <f>'Raw TV Data'!N17</f>
        <v/>
      </c>
      <c r="T23" s="4">
        <f>'Raw TV Data'!N18</f>
        <v/>
      </c>
      <c r="U23" s="26" t="n"/>
      <c r="V23" s="4">
        <f>'Raw TV Data'!N19</f>
        <v/>
      </c>
      <c r="W23" s="4">
        <f>'Raw TV Data'!N20</f>
        <v/>
      </c>
      <c r="X23" s="4">
        <f>'Raw TV Data'!N21</f>
        <v/>
      </c>
      <c r="Y23" s="4">
        <f>'Raw TV Data'!N22</f>
        <v/>
      </c>
      <c r="Z23" s="26" t="n"/>
    </row>
    <row r="24" ht="16" customHeight="1">
      <c r="A24" s="14" t="inlineStr">
        <is>
          <t>TOTAL VOLUME</t>
        </is>
      </c>
    </row>
    <row r="25" ht="14" customHeight="1">
      <c r="A25" s="25" t="inlineStr">
        <is>
          <t>Total Buy</t>
        </is>
      </c>
      <c r="B25" s="4">
        <f>'Raw TV Data'!O3</f>
        <v/>
      </c>
      <c r="C25" s="4">
        <f>'Raw TV Data'!O4</f>
        <v/>
      </c>
      <c r="D25" s="4">
        <f>'Raw TV Data'!O5</f>
        <v/>
      </c>
      <c r="E25" s="4">
        <f>'Raw TV Data'!O6</f>
        <v/>
      </c>
      <c r="F25" s="26" t="n"/>
      <c r="G25" s="4">
        <f>'Raw TV Data'!O7</f>
        <v/>
      </c>
      <c r="H25" s="4">
        <f>'Raw TV Data'!O8</f>
        <v/>
      </c>
      <c r="I25" s="4">
        <f>'Raw TV Data'!O9</f>
        <v/>
      </c>
      <c r="J25" s="4">
        <f>'Raw TV Data'!O10</f>
        <v/>
      </c>
      <c r="K25" s="26" t="n"/>
      <c r="L25" s="4">
        <f>'Raw TV Data'!O11</f>
        <v/>
      </c>
      <c r="M25" s="4">
        <f>'Raw TV Data'!O12</f>
        <v/>
      </c>
      <c r="N25" s="4">
        <f>'Raw TV Data'!O13</f>
        <v/>
      </c>
      <c r="O25" s="4">
        <f>'Raw TV Data'!O14</f>
        <v/>
      </c>
      <c r="P25" s="26" t="n"/>
      <c r="Q25" s="4">
        <f>'Raw TV Data'!O15</f>
        <v/>
      </c>
      <c r="R25" s="4">
        <f>'Raw TV Data'!O16</f>
        <v/>
      </c>
      <c r="S25" s="4">
        <f>'Raw TV Data'!O17</f>
        <v/>
      </c>
      <c r="T25" s="4">
        <f>'Raw TV Data'!O18</f>
        <v/>
      </c>
      <c r="U25" s="26" t="n"/>
      <c r="V25" s="4">
        <f>'Raw TV Data'!O19</f>
        <v/>
      </c>
      <c r="W25" s="4">
        <f>'Raw TV Data'!O20</f>
        <v/>
      </c>
      <c r="X25" s="4">
        <f>'Raw TV Data'!O21</f>
        <v/>
      </c>
      <c r="Y25" s="4">
        <f>'Raw TV Data'!O22</f>
        <v/>
      </c>
      <c r="Z25" s="26" t="n"/>
    </row>
    <row r="26" ht="14" customHeight="1">
      <c r="A26" s="25" t="inlineStr">
        <is>
          <t>Total Sell</t>
        </is>
      </c>
      <c r="B26" s="6">
        <f>'Raw TV Data'!P3</f>
        <v/>
      </c>
      <c r="C26" s="6">
        <f>'Raw TV Data'!P4</f>
        <v/>
      </c>
      <c r="D26" s="6">
        <f>'Raw TV Data'!P5</f>
        <v/>
      </c>
      <c r="E26" s="6">
        <f>'Raw TV Data'!P6</f>
        <v/>
      </c>
      <c r="F26" s="27" t="n"/>
      <c r="G26" s="6">
        <f>'Raw TV Data'!P7</f>
        <v/>
      </c>
      <c r="H26" s="6">
        <f>'Raw TV Data'!P8</f>
        <v/>
      </c>
      <c r="I26" s="6">
        <f>'Raw TV Data'!P9</f>
        <v/>
      </c>
      <c r="J26" s="6">
        <f>'Raw TV Data'!P10</f>
        <v/>
      </c>
      <c r="K26" s="27" t="n"/>
      <c r="L26" s="6">
        <f>'Raw TV Data'!P11</f>
        <v/>
      </c>
      <c r="M26" s="6">
        <f>'Raw TV Data'!P12</f>
        <v/>
      </c>
      <c r="N26" s="6">
        <f>'Raw TV Data'!P13</f>
        <v/>
      </c>
      <c r="O26" s="6">
        <f>'Raw TV Data'!P14</f>
        <v/>
      </c>
      <c r="P26" s="27" t="n"/>
      <c r="Q26" s="6">
        <f>'Raw TV Data'!P15</f>
        <v/>
      </c>
      <c r="R26" s="6">
        <f>'Raw TV Data'!P16</f>
        <v/>
      </c>
      <c r="S26" s="6">
        <f>'Raw TV Data'!P17</f>
        <v/>
      </c>
      <c r="T26" s="6">
        <f>'Raw TV Data'!P18</f>
        <v/>
      </c>
      <c r="U26" s="27" t="n"/>
      <c r="V26" s="6">
        <f>'Raw TV Data'!P19</f>
        <v/>
      </c>
      <c r="W26" s="6">
        <f>'Raw TV Data'!P20</f>
        <v/>
      </c>
      <c r="X26" s="6">
        <f>'Raw TV Data'!P21</f>
        <v/>
      </c>
      <c r="Y26" s="6">
        <f>'Raw TV Data'!P22</f>
        <v/>
      </c>
      <c r="Z26" s="27" t="n"/>
    </row>
    <row r="27" ht="14" customHeight="1">
      <c r="A27" s="25" t="inlineStr">
        <is>
          <t>Net Volume</t>
        </is>
      </c>
      <c r="B27" s="28">
        <f>'Raw TV Data'!O3-'Raw TV Data'!P3</f>
        <v/>
      </c>
      <c r="C27" s="28">
        <f>'Raw TV Data'!O4-'Raw TV Data'!P4</f>
        <v/>
      </c>
      <c r="D27" s="28">
        <f>'Raw TV Data'!O5-'Raw TV Data'!P5</f>
        <v/>
      </c>
      <c r="E27" s="28">
        <f>'Raw TV Data'!O6-'Raw TV Data'!P6</f>
        <v/>
      </c>
      <c r="F27" s="26" t="n"/>
      <c r="G27" s="28">
        <f>'Raw TV Data'!O7-'Raw TV Data'!P7</f>
        <v/>
      </c>
      <c r="H27" s="28">
        <f>'Raw TV Data'!O8-'Raw TV Data'!P8</f>
        <v/>
      </c>
      <c r="I27" s="28">
        <f>'Raw TV Data'!O9-'Raw TV Data'!P9</f>
        <v/>
      </c>
      <c r="J27" s="28">
        <f>'Raw TV Data'!O10-'Raw TV Data'!P10</f>
        <v/>
      </c>
      <c r="K27" s="26" t="n"/>
      <c r="L27" s="28">
        <f>'Raw TV Data'!O11-'Raw TV Data'!P11</f>
        <v/>
      </c>
      <c r="M27" s="28">
        <f>'Raw TV Data'!O12-'Raw TV Data'!P12</f>
        <v/>
      </c>
      <c r="N27" s="28">
        <f>'Raw TV Data'!O13-'Raw TV Data'!P13</f>
        <v/>
      </c>
      <c r="O27" s="28">
        <f>'Raw TV Data'!O14-'Raw TV Data'!P14</f>
        <v/>
      </c>
      <c r="P27" s="26" t="n"/>
      <c r="Q27" s="28">
        <f>'Raw TV Data'!O15-'Raw TV Data'!P15</f>
        <v/>
      </c>
      <c r="R27" s="28">
        <f>'Raw TV Data'!O16-'Raw TV Data'!P16</f>
        <v/>
      </c>
      <c r="S27" s="28">
        <f>'Raw TV Data'!O17-'Raw TV Data'!P17</f>
        <v/>
      </c>
      <c r="T27" s="28">
        <f>'Raw TV Data'!O18-'Raw TV Data'!P18</f>
        <v/>
      </c>
      <c r="U27" s="26" t="n"/>
      <c r="V27" s="28">
        <f>'Raw TV Data'!O19-'Raw TV Data'!P19</f>
        <v/>
      </c>
      <c r="W27" s="28">
        <f>'Raw TV Data'!O20-'Raw TV Data'!P20</f>
        <v/>
      </c>
      <c r="X27" s="28">
        <f>'Raw TV Data'!O21-'Raw TV Data'!P21</f>
        <v/>
      </c>
      <c r="Y27" s="28">
        <f>'Raw TV Data'!O22-'Raw TV Data'!P22</f>
        <v/>
      </c>
      <c r="Z27" s="26" t="n"/>
    </row>
    <row r="28" ht="14" customHeight="1">
      <c r="A28" s="25" t="inlineStr">
        <is>
          <t>% of Market Buy</t>
        </is>
      </c>
      <c r="B28" s="31">
        <f>IFERROR('Raw TV Data'!O3/SUM('Raw TV Data'!O3,'Raw TV Data'!O4,'Raw TV Data'!O5,'Raw TV Data'!O6),0)</f>
        <v/>
      </c>
      <c r="C28" s="31">
        <f>IFERROR('Raw TV Data'!O4/SUM('Raw TV Data'!O3,'Raw TV Data'!O4,'Raw TV Data'!O5,'Raw TV Data'!O6),0)</f>
        <v/>
      </c>
      <c r="D28" s="31">
        <f>IFERROR('Raw TV Data'!O5/SUM('Raw TV Data'!O3,'Raw TV Data'!O4,'Raw TV Data'!O5,'Raw TV Data'!O6),0)</f>
        <v/>
      </c>
      <c r="E28" s="31">
        <f>IFERROR('Raw TV Data'!O6/SUM('Raw TV Data'!O3,'Raw TV Data'!O4,'Raw TV Data'!O5,'Raw TV Data'!O6),0)</f>
        <v/>
      </c>
      <c r="F28" s="27" t="n"/>
      <c r="G28" s="31">
        <f>IFERROR('Raw TV Data'!O7/SUM('Raw TV Data'!O7,'Raw TV Data'!O8,'Raw TV Data'!O9,'Raw TV Data'!O10),0)</f>
        <v/>
      </c>
      <c r="H28" s="31">
        <f>IFERROR('Raw TV Data'!O8/SUM('Raw TV Data'!O7,'Raw TV Data'!O8,'Raw TV Data'!O9,'Raw TV Data'!O10),0)</f>
        <v/>
      </c>
      <c r="I28" s="31">
        <f>IFERROR('Raw TV Data'!O9/SUM('Raw TV Data'!O7,'Raw TV Data'!O8,'Raw TV Data'!O9,'Raw TV Data'!O10),0)</f>
        <v/>
      </c>
      <c r="J28" s="31">
        <f>IFERROR('Raw TV Data'!O10/SUM('Raw TV Data'!O7,'Raw TV Data'!O8,'Raw TV Data'!O9,'Raw TV Data'!O10),0)</f>
        <v/>
      </c>
      <c r="K28" s="27" t="n"/>
      <c r="L28" s="31">
        <f>IFERROR('Raw TV Data'!O11/SUM('Raw TV Data'!O11,'Raw TV Data'!O12,'Raw TV Data'!O13,'Raw TV Data'!O14),0)</f>
        <v/>
      </c>
      <c r="M28" s="31">
        <f>IFERROR('Raw TV Data'!O12/SUM('Raw TV Data'!O11,'Raw TV Data'!O12,'Raw TV Data'!O13,'Raw TV Data'!O14),0)</f>
        <v/>
      </c>
      <c r="N28" s="31">
        <f>IFERROR('Raw TV Data'!O13/SUM('Raw TV Data'!O11,'Raw TV Data'!O12,'Raw TV Data'!O13,'Raw TV Data'!O14),0)</f>
        <v/>
      </c>
      <c r="O28" s="31">
        <f>IFERROR('Raw TV Data'!O14/SUM('Raw TV Data'!O11,'Raw TV Data'!O12,'Raw TV Data'!O13,'Raw TV Data'!O14),0)</f>
        <v/>
      </c>
      <c r="P28" s="27" t="n"/>
      <c r="Q28" s="31">
        <f>IFERROR('Raw TV Data'!O15/SUM('Raw TV Data'!O15,'Raw TV Data'!O16,'Raw TV Data'!O17,'Raw TV Data'!O18),0)</f>
        <v/>
      </c>
      <c r="R28" s="31">
        <f>IFERROR('Raw TV Data'!O16/SUM('Raw TV Data'!O15,'Raw TV Data'!O16,'Raw TV Data'!O17,'Raw TV Data'!O18),0)</f>
        <v/>
      </c>
      <c r="S28" s="31">
        <f>IFERROR('Raw TV Data'!O17/SUM('Raw TV Data'!O15,'Raw TV Data'!O16,'Raw TV Data'!O17,'Raw TV Data'!O18),0)</f>
        <v/>
      </c>
      <c r="T28" s="31">
        <f>IFERROR('Raw TV Data'!O18/SUM('Raw TV Data'!O15,'Raw TV Data'!O16,'Raw TV Data'!O17,'Raw TV Data'!O18),0)</f>
        <v/>
      </c>
      <c r="U28" s="27" t="n"/>
      <c r="V28" s="31">
        <f>IFERROR('Raw TV Data'!O19/SUM('Raw TV Data'!O19,'Raw TV Data'!O20,'Raw TV Data'!O21,'Raw TV Data'!O22),0)</f>
        <v/>
      </c>
      <c r="W28" s="31">
        <f>IFERROR('Raw TV Data'!O20/SUM('Raw TV Data'!O19,'Raw TV Data'!O20,'Raw TV Data'!O21,'Raw TV Data'!O22),0)</f>
        <v/>
      </c>
      <c r="X28" s="31">
        <f>IFERROR('Raw TV Data'!O21/SUM('Raw TV Data'!O19,'Raw TV Data'!O20,'Raw TV Data'!O21,'Raw TV Data'!O22),0)</f>
        <v/>
      </c>
      <c r="Y28" s="31">
        <f>IFERROR('Raw TV Data'!O22/SUM('Raw TV Data'!O19,'Raw TV Data'!O20,'Raw TV Data'!O21,'Raw TV Data'!O22),0)</f>
        <v/>
      </c>
      <c r="Z28" s="27" t="n"/>
    </row>
  </sheetData>
  <mergeCells count="11">
    <mergeCell ref="A1:Z1"/>
    <mergeCell ref="A18:Z18"/>
    <mergeCell ref="A8:Z8"/>
    <mergeCell ref="V2:Y2"/>
    <mergeCell ref="L2:O2"/>
    <mergeCell ref="A4:Z4"/>
    <mergeCell ref="G2:J2"/>
    <mergeCell ref="A12:Z12"/>
    <mergeCell ref="B2:E2"/>
    <mergeCell ref="Q2:T2"/>
    <mergeCell ref="A24:Z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Net OI &amp; Market Bias by Participant</t>
        </is>
      </c>
    </row>
    <row r="2" ht="16" customHeight="1">
      <c r="A2" s="19" t="inlineStr">
        <is>
          <t>Metric</t>
        </is>
      </c>
      <c r="B2" s="19" t="inlineStr">
        <is>
          <t>Jun 30 2026</t>
        </is>
      </c>
      <c r="C2" s="20" t="n"/>
      <c r="D2" s="20" t="n"/>
      <c r="E2" s="20" t="n"/>
      <c r="F2" s="20" t="n"/>
      <c r="G2" s="19" t="inlineStr">
        <is>
          <t>Jul 01 2026</t>
        </is>
      </c>
      <c r="H2" s="20" t="n"/>
      <c r="I2" s="20" t="n"/>
      <c r="J2" s="20" t="n"/>
      <c r="K2" s="20" t="n"/>
      <c r="L2" s="19" t="inlineStr">
        <is>
          <t>Jul 02 2026</t>
        </is>
      </c>
      <c r="M2" s="20" t="n"/>
      <c r="N2" s="20" t="n"/>
      <c r="O2" s="20" t="n"/>
      <c r="P2" s="20" t="n"/>
      <c r="Q2" s="19" t="inlineStr">
        <is>
          <t>Jul 03 2026</t>
        </is>
      </c>
      <c r="R2" s="20" t="n"/>
      <c r="S2" s="20" t="n"/>
      <c r="T2" s="20" t="n"/>
      <c r="U2" s="20" t="n"/>
      <c r="V2" s="19" t="inlineStr">
        <is>
          <t>Jul 06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NET OPEN INTEREST  (Long − Short)</t>
        </is>
      </c>
    </row>
    <row r="5" ht="14" customHeight="1">
      <c r="A5" s="25" t="inlineStr">
        <is>
          <t>Net Fut Index OI</t>
        </is>
      </c>
      <c r="B5" s="28">
        <f>'Raw OI Data'!C3-'Raw OI Data'!D3</f>
        <v/>
      </c>
      <c r="C5" s="28">
        <f>'Raw OI Data'!C4-'Raw OI Data'!D4</f>
        <v/>
      </c>
      <c r="D5" s="28">
        <f>'Raw OI Data'!C5-'Raw OI Data'!D5</f>
        <v/>
      </c>
      <c r="E5" s="28">
        <f>'Raw OI Data'!C6-'Raw OI Data'!D6</f>
        <v/>
      </c>
      <c r="F5" s="26" t="n"/>
      <c r="G5" s="28">
        <f>'Raw OI Data'!C7-'Raw OI Data'!D7</f>
        <v/>
      </c>
      <c r="H5" s="28">
        <f>'Raw OI Data'!C8-'Raw OI Data'!D8</f>
        <v/>
      </c>
      <c r="I5" s="28">
        <f>'Raw OI Data'!C9-'Raw OI Data'!D9</f>
        <v/>
      </c>
      <c r="J5" s="28">
        <f>'Raw OI Data'!C10-'Raw OI Data'!D10</f>
        <v/>
      </c>
      <c r="K5" s="26" t="n"/>
      <c r="L5" s="28">
        <f>'Raw OI Data'!C11-'Raw OI Data'!D11</f>
        <v/>
      </c>
      <c r="M5" s="28">
        <f>'Raw OI Data'!C12-'Raw OI Data'!D12</f>
        <v/>
      </c>
      <c r="N5" s="28">
        <f>'Raw OI Data'!C13-'Raw OI Data'!D13</f>
        <v/>
      </c>
      <c r="O5" s="28">
        <f>'Raw OI Data'!C14-'Raw OI Data'!D14</f>
        <v/>
      </c>
      <c r="P5" s="26" t="n"/>
      <c r="Q5" s="28">
        <f>'Raw OI Data'!C15-'Raw OI Data'!D15</f>
        <v/>
      </c>
      <c r="R5" s="28">
        <f>'Raw OI Data'!C16-'Raw OI Data'!D16</f>
        <v/>
      </c>
      <c r="S5" s="28">
        <f>'Raw OI Data'!C17-'Raw OI Data'!D17</f>
        <v/>
      </c>
      <c r="T5" s="28">
        <f>'Raw OI Data'!C18-'Raw OI Data'!D18</f>
        <v/>
      </c>
      <c r="U5" s="26" t="n"/>
      <c r="V5" s="28">
        <f>'Raw OI Data'!C19-'Raw OI Data'!D19</f>
        <v/>
      </c>
      <c r="W5" s="28">
        <f>'Raw OI Data'!C20-'Raw OI Data'!D20</f>
        <v/>
      </c>
      <c r="X5" s="28">
        <f>'Raw OI Data'!C21-'Raw OI Data'!D21</f>
        <v/>
      </c>
      <c r="Y5" s="28">
        <f>'Raw OI Data'!C22-'Raw OI Data'!D22</f>
        <v/>
      </c>
      <c r="Z5" s="26" t="n"/>
    </row>
    <row r="6" ht="14" customHeight="1">
      <c r="A6" s="25" t="inlineStr">
        <is>
          <t>Net Fut Stock OI</t>
        </is>
      </c>
      <c r="B6" s="32">
        <f>'Raw OI Data'!E3-'Raw OI Data'!F3</f>
        <v/>
      </c>
      <c r="C6" s="32">
        <f>'Raw OI Data'!E4-'Raw OI Data'!F4</f>
        <v/>
      </c>
      <c r="D6" s="32">
        <f>'Raw OI Data'!E5-'Raw OI Data'!F5</f>
        <v/>
      </c>
      <c r="E6" s="32">
        <f>'Raw OI Data'!E6-'Raw OI Data'!F6</f>
        <v/>
      </c>
      <c r="F6" s="27" t="n"/>
      <c r="G6" s="32">
        <f>'Raw OI Data'!E7-'Raw OI Data'!F7</f>
        <v/>
      </c>
      <c r="H6" s="32">
        <f>'Raw OI Data'!E8-'Raw OI Data'!F8</f>
        <v/>
      </c>
      <c r="I6" s="32">
        <f>'Raw OI Data'!E9-'Raw OI Data'!F9</f>
        <v/>
      </c>
      <c r="J6" s="32">
        <f>'Raw OI Data'!E10-'Raw OI Data'!F10</f>
        <v/>
      </c>
      <c r="K6" s="27" t="n"/>
      <c r="L6" s="32">
        <f>'Raw OI Data'!E11-'Raw OI Data'!F11</f>
        <v/>
      </c>
      <c r="M6" s="32">
        <f>'Raw OI Data'!E12-'Raw OI Data'!F12</f>
        <v/>
      </c>
      <c r="N6" s="32">
        <f>'Raw OI Data'!E13-'Raw OI Data'!F13</f>
        <v/>
      </c>
      <c r="O6" s="32">
        <f>'Raw OI Data'!E14-'Raw OI Data'!F14</f>
        <v/>
      </c>
      <c r="P6" s="27" t="n"/>
      <c r="Q6" s="32">
        <f>'Raw OI Data'!E15-'Raw OI Data'!F15</f>
        <v/>
      </c>
      <c r="R6" s="32">
        <f>'Raw OI Data'!E16-'Raw OI Data'!F16</f>
        <v/>
      </c>
      <c r="S6" s="32">
        <f>'Raw OI Data'!E17-'Raw OI Data'!F17</f>
        <v/>
      </c>
      <c r="T6" s="32">
        <f>'Raw OI Data'!E18-'Raw OI Data'!F18</f>
        <v/>
      </c>
      <c r="U6" s="27" t="n"/>
      <c r="V6" s="32">
        <f>'Raw OI Data'!E19-'Raw OI Data'!F19</f>
        <v/>
      </c>
      <c r="W6" s="32">
        <f>'Raw OI Data'!E20-'Raw OI Data'!F20</f>
        <v/>
      </c>
      <c r="X6" s="32">
        <f>'Raw OI Data'!E21-'Raw OI Data'!F21</f>
        <v/>
      </c>
      <c r="Y6" s="32">
        <f>'Raw OI Data'!E22-'Raw OI Data'!F22</f>
        <v/>
      </c>
      <c r="Z6" s="27" t="n"/>
    </row>
    <row r="7" ht="14" customHeight="1">
      <c r="A7" s="25" t="inlineStr">
        <is>
          <t>Net Futures OI</t>
        </is>
      </c>
      <c r="B7" s="28">
        <f>('Raw OI Data'!C3+'Raw OI Data'!E3)-('Raw OI Data'!D3+'Raw OI Data'!F3)</f>
        <v/>
      </c>
      <c r="C7" s="28">
        <f>('Raw OI Data'!C4+'Raw OI Data'!E4)-('Raw OI Data'!D4+'Raw OI Data'!F4)</f>
        <v/>
      </c>
      <c r="D7" s="28">
        <f>('Raw OI Data'!C5+'Raw OI Data'!E5)-('Raw OI Data'!D5+'Raw OI Data'!F5)</f>
        <v/>
      </c>
      <c r="E7" s="28">
        <f>('Raw OI Data'!C6+'Raw OI Data'!E6)-('Raw OI Data'!D6+'Raw OI Data'!F6)</f>
        <v/>
      </c>
      <c r="F7" s="26" t="n"/>
      <c r="G7" s="28">
        <f>('Raw OI Data'!C7+'Raw OI Data'!E7)-('Raw OI Data'!D7+'Raw OI Data'!F7)</f>
        <v/>
      </c>
      <c r="H7" s="28">
        <f>('Raw OI Data'!C8+'Raw OI Data'!E8)-('Raw OI Data'!D8+'Raw OI Data'!F8)</f>
        <v/>
      </c>
      <c r="I7" s="28">
        <f>('Raw OI Data'!C9+'Raw OI Data'!E9)-('Raw OI Data'!D9+'Raw OI Data'!F9)</f>
        <v/>
      </c>
      <c r="J7" s="28">
        <f>('Raw OI Data'!C10+'Raw OI Data'!E10)-('Raw OI Data'!D10+'Raw OI Data'!F10)</f>
        <v/>
      </c>
      <c r="K7" s="26" t="n"/>
      <c r="L7" s="28">
        <f>('Raw OI Data'!C11+'Raw OI Data'!E11)-('Raw OI Data'!D11+'Raw OI Data'!F11)</f>
        <v/>
      </c>
      <c r="M7" s="28">
        <f>('Raw OI Data'!C12+'Raw OI Data'!E12)-('Raw OI Data'!D12+'Raw OI Data'!F12)</f>
        <v/>
      </c>
      <c r="N7" s="28">
        <f>('Raw OI Data'!C13+'Raw OI Data'!E13)-('Raw OI Data'!D13+'Raw OI Data'!F13)</f>
        <v/>
      </c>
      <c r="O7" s="28">
        <f>('Raw OI Data'!C14+'Raw OI Data'!E14)-('Raw OI Data'!D14+'Raw OI Data'!F14)</f>
        <v/>
      </c>
      <c r="P7" s="26" t="n"/>
      <c r="Q7" s="28">
        <f>('Raw OI Data'!C15+'Raw OI Data'!E15)-('Raw OI Data'!D15+'Raw OI Data'!F15)</f>
        <v/>
      </c>
      <c r="R7" s="28">
        <f>('Raw OI Data'!C16+'Raw OI Data'!E16)-('Raw OI Data'!D16+'Raw OI Data'!F16)</f>
        <v/>
      </c>
      <c r="S7" s="28">
        <f>('Raw OI Data'!C17+'Raw OI Data'!E17)-('Raw OI Data'!D17+'Raw OI Data'!F17)</f>
        <v/>
      </c>
      <c r="T7" s="28">
        <f>('Raw OI Data'!C18+'Raw OI Data'!E18)-('Raw OI Data'!D18+'Raw OI Data'!F18)</f>
        <v/>
      </c>
      <c r="U7" s="26" t="n"/>
      <c r="V7" s="28">
        <f>('Raw OI Data'!C19+'Raw OI Data'!E19)-('Raw OI Data'!D19+'Raw OI Data'!F19)</f>
        <v/>
      </c>
      <c r="W7" s="28">
        <f>('Raw OI Data'!C20+'Raw OI Data'!E20)-('Raw OI Data'!D20+'Raw OI Data'!F20)</f>
        <v/>
      </c>
      <c r="X7" s="28">
        <f>('Raw OI Data'!C21+'Raw OI Data'!E21)-('Raw OI Data'!D21+'Raw OI Data'!F21)</f>
        <v/>
      </c>
      <c r="Y7" s="28">
        <f>('Raw OI Data'!C22+'Raw OI Data'!E22)-('Raw OI Data'!D22+'Raw OI Data'!F22)</f>
        <v/>
      </c>
      <c r="Z7" s="26" t="n"/>
    </row>
    <row r="8" ht="14" customHeight="1">
      <c r="A8" s="25" t="inlineStr">
        <is>
          <t>Net Idx Call OI</t>
        </is>
      </c>
      <c r="B8" s="32">
        <f>'Raw OI Data'!G3-'Raw OI Data'!I3</f>
        <v/>
      </c>
      <c r="C8" s="32">
        <f>'Raw OI Data'!G4-'Raw OI Data'!I4</f>
        <v/>
      </c>
      <c r="D8" s="32">
        <f>'Raw OI Data'!G5-'Raw OI Data'!I5</f>
        <v/>
      </c>
      <c r="E8" s="32">
        <f>'Raw OI Data'!G6-'Raw OI Data'!I6</f>
        <v/>
      </c>
      <c r="F8" s="27" t="n"/>
      <c r="G8" s="32">
        <f>'Raw OI Data'!G7-'Raw OI Data'!I7</f>
        <v/>
      </c>
      <c r="H8" s="32">
        <f>'Raw OI Data'!G8-'Raw OI Data'!I8</f>
        <v/>
      </c>
      <c r="I8" s="32">
        <f>'Raw OI Data'!G9-'Raw OI Data'!I9</f>
        <v/>
      </c>
      <c r="J8" s="32">
        <f>'Raw OI Data'!G10-'Raw OI Data'!I10</f>
        <v/>
      </c>
      <c r="K8" s="27" t="n"/>
      <c r="L8" s="32">
        <f>'Raw OI Data'!G11-'Raw OI Data'!I11</f>
        <v/>
      </c>
      <c r="M8" s="32">
        <f>'Raw OI Data'!G12-'Raw OI Data'!I12</f>
        <v/>
      </c>
      <c r="N8" s="32">
        <f>'Raw OI Data'!G13-'Raw OI Data'!I13</f>
        <v/>
      </c>
      <c r="O8" s="32">
        <f>'Raw OI Data'!G14-'Raw OI Data'!I14</f>
        <v/>
      </c>
      <c r="P8" s="27" t="n"/>
      <c r="Q8" s="32">
        <f>'Raw OI Data'!G15-'Raw OI Data'!I15</f>
        <v/>
      </c>
      <c r="R8" s="32">
        <f>'Raw OI Data'!G16-'Raw OI Data'!I16</f>
        <v/>
      </c>
      <c r="S8" s="32">
        <f>'Raw OI Data'!G17-'Raw OI Data'!I17</f>
        <v/>
      </c>
      <c r="T8" s="32">
        <f>'Raw OI Data'!G18-'Raw OI Data'!I18</f>
        <v/>
      </c>
      <c r="U8" s="27" t="n"/>
      <c r="V8" s="32">
        <f>'Raw OI Data'!G19-'Raw OI Data'!I19</f>
        <v/>
      </c>
      <c r="W8" s="32">
        <f>'Raw OI Data'!G20-'Raw OI Data'!I20</f>
        <v/>
      </c>
      <c r="X8" s="32">
        <f>'Raw OI Data'!G21-'Raw OI Data'!I21</f>
        <v/>
      </c>
      <c r="Y8" s="32">
        <f>'Raw OI Data'!G22-'Raw OI Data'!I22</f>
        <v/>
      </c>
      <c r="Z8" s="27" t="n"/>
    </row>
    <row r="9" ht="14" customHeight="1">
      <c r="A9" s="25" t="inlineStr">
        <is>
          <t>Net Idx Put OI</t>
        </is>
      </c>
      <c r="B9" s="28">
        <f>'Raw OI Data'!H3-'Raw OI Data'!J3</f>
        <v/>
      </c>
      <c r="C9" s="28">
        <f>'Raw OI Data'!H4-'Raw OI Data'!J4</f>
        <v/>
      </c>
      <c r="D9" s="28">
        <f>'Raw OI Data'!H5-'Raw OI Data'!J5</f>
        <v/>
      </c>
      <c r="E9" s="28">
        <f>'Raw OI Data'!H6-'Raw OI Data'!J6</f>
        <v/>
      </c>
      <c r="F9" s="26" t="n"/>
      <c r="G9" s="28">
        <f>'Raw OI Data'!H7-'Raw OI Data'!J7</f>
        <v/>
      </c>
      <c r="H9" s="28">
        <f>'Raw OI Data'!H8-'Raw OI Data'!J8</f>
        <v/>
      </c>
      <c r="I9" s="28">
        <f>'Raw OI Data'!H9-'Raw OI Data'!J9</f>
        <v/>
      </c>
      <c r="J9" s="28">
        <f>'Raw OI Data'!H10-'Raw OI Data'!J10</f>
        <v/>
      </c>
      <c r="K9" s="26" t="n"/>
      <c r="L9" s="28">
        <f>'Raw OI Data'!H11-'Raw OI Data'!J11</f>
        <v/>
      </c>
      <c r="M9" s="28">
        <f>'Raw OI Data'!H12-'Raw OI Data'!J12</f>
        <v/>
      </c>
      <c r="N9" s="28">
        <f>'Raw OI Data'!H13-'Raw OI Data'!J13</f>
        <v/>
      </c>
      <c r="O9" s="28">
        <f>'Raw OI Data'!H14-'Raw OI Data'!J14</f>
        <v/>
      </c>
      <c r="P9" s="26" t="n"/>
      <c r="Q9" s="28">
        <f>'Raw OI Data'!H15-'Raw OI Data'!J15</f>
        <v/>
      </c>
      <c r="R9" s="28">
        <f>'Raw OI Data'!H16-'Raw OI Data'!J16</f>
        <v/>
      </c>
      <c r="S9" s="28">
        <f>'Raw OI Data'!H17-'Raw OI Data'!J17</f>
        <v/>
      </c>
      <c r="T9" s="28">
        <f>'Raw OI Data'!H18-'Raw OI Data'!J18</f>
        <v/>
      </c>
      <c r="U9" s="26" t="n"/>
      <c r="V9" s="28">
        <f>'Raw OI Data'!H19-'Raw OI Data'!J19</f>
        <v/>
      </c>
      <c r="W9" s="28">
        <f>'Raw OI Data'!H20-'Raw OI Data'!J20</f>
        <v/>
      </c>
      <c r="X9" s="28">
        <f>'Raw OI Data'!H21-'Raw OI Data'!J21</f>
        <v/>
      </c>
      <c r="Y9" s="28">
        <f>'Raw OI Data'!H22-'Raw OI Data'!J22</f>
        <v/>
      </c>
      <c r="Z9" s="26" t="n"/>
    </row>
    <row r="10" ht="14" customHeight="1">
      <c r="A10" s="25" t="inlineStr">
        <is>
          <t>Net Stk Call OI</t>
        </is>
      </c>
      <c r="B10" s="32">
        <f>'Raw OI Data'!K3-'Raw OI Data'!M3</f>
        <v/>
      </c>
      <c r="C10" s="32">
        <f>'Raw OI Data'!K4-'Raw OI Data'!M4</f>
        <v/>
      </c>
      <c r="D10" s="32">
        <f>'Raw OI Data'!K5-'Raw OI Data'!M5</f>
        <v/>
      </c>
      <c r="E10" s="32">
        <f>'Raw OI Data'!K6-'Raw OI Data'!M6</f>
        <v/>
      </c>
      <c r="F10" s="27" t="n"/>
      <c r="G10" s="32">
        <f>'Raw OI Data'!K7-'Raw OI Data'!M7</f>
        <v/>
      </c>
      <c r="H10" s="32">
        <f>'Raw OI Data'!K8-'Raw OI Data'!M8</f>
        <v/>
      </c>
      <c r="I10" s="32">
        <f>'Raw OI Data'!K9-'Raw OI Data'!M9</f>
        <v/>
      </c>
      <c r="J10" s="32">
        <f>'Raw OI Data'!K10-'Raw OI Data'!M10</f>
        <v/>
      </c>
      <c r="K10" s="27" t="n"/>
      <c r="L10" s="32">
        <f>'Raw OI Data'!K11-'Raw OI Data'!M11</f>
        <v/>
      </c>
      <c r="M10" s="32">
        <f>'Raw OI Data'!K12-'Raw OI Data'!M12</f>
        <v/>
      </c>
      <c r="N10" s="32">
        <f>'Raw OI Data'!K13-'Raw OI Data'!M13</f>
        <v/>
      </c>
      <c r="O10" s="32">
        <f>'Raw OI Data'!K14-'Raw OI Data'!M14</f>
        <v/>
      </c>
      <c r="P10" s="27" t="n"/>
      <c r="Q10" s="32">
        <f>'Raw OI Data'!K15-'Raw OI Data'!M15</f>
        <v/>
      </c>
      <c r="R10" s="32">
        <f>'Raw OI Data'!K16-'Raw OI Data'!M16</f>
        <v/>
      </c>
      <c r="S10" s="32">
        <f>'Raw OI Data'!K17-'Raw OI Data'!M17</f>
        <v/>
      </c>
      <c r="T10" s="32">
        <f>'Raw OI Data'!K18-'Raw OI Data'!M18</f>
        <v/>
      </c>
      <c r="U10" s="27" t="n"/>
      <c r="V10" s="32">
        <f>'Raw OI Data'!K19-'Raw OI Data'!M19</f>
        <v/>
      </c>
      <c r="W10" s="32">
        <f>'Raw OI Data'!K20-'Raw OI Data'!M20</f>
        <v/>
      </c>
      <c r="X10" s="32">
        <f>'Raw OI Data'!K21-'Raw OI Data'!M21</f>
        <v/>
      </c>
      <c r="Y10" s="32">
        <f>'Raw OI Data'!K22-'Raw OI Data'!M22</f>
        <v/>
      </c>
      <c r="Z10" s="27" t="n"/>
    </row>
    <row r="11" ht="14" customHeight="1">
      <c r="A11" s="25" t="inlineStr">
        <is>
          <t>Net Stk Put OI</t>
        </is>
      </c>
      <c r="B11" s="28">
        <f>'Raw OI Data'!L3-'Raw OI Data'!N3</f>
        <v/>
      </c>
      <c r="C11" s="28">
        <f>'Raw OI Data'!L4-'Raw OI Data'!N4</f>
        <v/>
      </c>
      <c r="D11" s="28">
        <f>'Raw OI Data'!L5-'Raw OI Data'!N5</f>
        <v/>
      </c>
      <c r="E11" s="28">
        <f>'Raw OI Data'!L6-'Raw OI Data'!N6</f>
        <v/>
      </c>
      <c r="F11" s="26" t="n"/>
      <c r="G11" s="28">
        <f>'Raw OI Data'!L7-'Raw OI Data'!N7</f>
        <v/>
      </c>
      <c r="H11" s="28">
        <f>'Raw OI Data'!L8-'Raw OI Data'!N8</f>
        <v/>
      </c>
      <c r="I11" s="28">
        <f>'Raw OI Data'!L9-'Raw OI Data'!N9</f>
        <v/>
      </c>
      <c r="J11" s="28">
        <f>'Raw OI Data'!L10-'Raw OI Data'!N10</f>
        <v/>
      </c>
      <c r="K11" s="26" t="n"/>
      <c r="L11" s="28">
        <f>'Raw OI Data'!L11-'Raw OI Data'!N11</f>
        <v/>
      </c>
      <c r="M11" s="28">
        <f>'Raw OI Data'!L12-'Raw OI Data'!N12</f>
        <v/>
      </c>
      <c r="N11" s="28">
        <f>'Raw OI Data'!L13-'Raw OI Data'!N13</f>
        <v/>
      </c>
      <c r="O11" s="28">
        <f>'Raw OI Data'!L14-'Raw OI Data'!N14</f>
        <v/>
      </c>
      <c r="P11" s="26" t="n"/>
      <c r="Q11" s="28">
        <f>'Raw OI Data'!L15-'Raw OI Data'!N15</f>
        <v/>
      </c>
      <c r="R11" s="28">
        <f>'Raw OI Data'!L16-'Raw OI Data'!N16</f>
        <v/>
      </c>
      <c r="S11" s="28">
        <f>'Raw OI Data'!L17-'Raw OI Data'!N17</f>
        <v/>
      </c>
      <c r="T11" s="28">
        <f>'Raw OI Data'!L18-'Raw OI Data'!N18</f>
        <v/>
      </c>
      <c r="U11" s="26" t="n"/>
      <c r="V11" s="28">
        <f>'Raw OI Data'!L19-'Raw OI Data'!N19</f>
        <v/>
      </c>
      <c r="W11" s="28">
        <f>'Raw OI Data'!L20-'Raw OI Data'!N20</f>
        <v/>
      </c>
      <c r="X11" s="28">
        <f>'Raw OI Data'!L21-'Raw OI Data'!N21</f>
        <v/>
      </c>
      <c r="Y11" s="28">
        <f>'Raw OI Data'!L22-'Raw OI Data'!N22</f>
        <v/>
      </c>
      <c r="Z11" s="26" t="n"/>
    </row>
    <row r="12" ht="14" customHeight="1">
      <c r="A12" s="25" t="inlineStr">
        <is>
          <t>Net Total OI</t>
        </is>
      </c>
      <c r="B12" s="32">
        <f>'Raw OI Data'!O3-'Raw OI Data'!P3</f>
        <v/>
      </c>
      <c r="C12" s="32">
        <f>'Raw OI Data'!O4-'Raw OI Data'!P4</f>
        <v/>
      </c>
      <c r="D12" s="32">
        <f>'Raw OI Data'!O5-'Raw OI Data'!P5</f>
        <v/>
      </c>
      <c r="E12" s="32">
        <f>'Raw OI Data'!O6-'Raw OI Data'!P6</f>
        <v/>
      </c>
      <c r="F12" s="27" t="n"/>
      <c r="G12" s="32">
        <f>'Raw OI Data'!O7-'Raw OI Data'!P7</f>
        <v/>
      </c>
      <c r="H12" s="32">
        <f>'Raw OI Data'!O8-'Raw OI Data'!P8</f>
        <v/>
      </c>
      <c r="I12" s="32">
        <f>'Raw OI Data'!O9-'Raw OI Data'!P9</f>
        <v/>
      </c>
      <c r="J12" s="32">
        <f>'Raw OI Data'!O10-'Raw OI Data'!P10</f>
        <v/>
      </c>
      <c r="K12" s="27" t="n"/>
      <c r="L12" s="32">
        <f>'Raw OI Data'!O11-'Raw OI Data'!P11</f>
        <v/>
      </c>
      <c r="M12" s="32">
        <f>'Raw OI Data'!O12-'Raw OI Data'!P12</f>
        <v/>
      </c>
      <c r="N12" s="32">
        <f>'Raw OI Data'!O13-'Raw OI Data'!P13</f>
        <v/>
      </c>
      <c r="O12" s="32">
        <f>'Raw OI Data'!O14-'Raw OI Data'!P14</f>
        <v/>
      </c>
      <c r="P12" s="27" t="n"/>
      <c r="Q12" s="32">
        <f>'Raw OI Data'!O15-'Raw OI Data'!P15</f>
        <v/>
      </c>
      <c r="R12" s="32">
        <f>'Raw OI Data'!O16-'Raw OI Data'!P16</f>
        <v/>
      </c>
      <c r="S12" s="32">
        <f>'Raw OI Data'!O17-'Raw OI Data'!P17</f>
        <v/>
      </c>
      <c r="T12" s="32">
        <f>'Raw OI Data'!O18-'Raw OI Data'!P18</f>
        <v/>
      </c>
      <c r="U12" s="27" t="n"/>
      <c r="V12" s="32">
        <f>'Raw OI Data'!O19-'Raw OI Data'!P19</f>
        <v/>
      </c>
      <c r="W12" s="32">
        <f>'Raw OI Data'!O20-'Raw OI Data'!P20</f>
        <v/>
      </c>
      <c r="X12" s="32">
        <f>'Raw OI Data'!O21-'Raw OI Data'!P21</f>
        <v/>
      </c>
      <c r="Y12" s="32">
        <f>'Raw OI Data'!O22-'Raw OI Data'!P22</f>
        <v/>
      </c>
      <c r="Z12" s="27" t="n"/>
    </row>
    <row r="13" ht="16" customHeight="1">
      <c r="A13" s="14" t="inlineStr">
        <is>
          <t>LONG-SHORT RATIOS</t>
        </is>
      </c>
    </row>
    <row r="14" ht="14" customHeight="1">
      <c r="A14" s="25" t="inlineStr">
        <is>
          <t>Fut Index L/S</t>
        </is>
      </c>
      <c r="B14" s="33">
        <f>IFERROR('Raw OI Data'!C3/'Raw OI Data'!D3,0)</f>
        <v/>
      </c>
      <c r="C14" s="33">
        <f>IFERROR('Raw OI Data'!C4/'Raw OI Data'!D4,0)</f>
        <v/>
      </c>
      <c r="D14" s="33">
        <f>IFERROR('Raw OI Data'!C5/'Raw OI Data'!D5,0)</f>
        <v/>
      </c>
      <c r="E14" s="33">
        <f>IFERROR('Raw OI Data'!C6/'Raw OI Data'!D6,0)</f>
        <v/>
      </c>
      <c r="F14" s="26" t="n"/>
      <c r="G14" s="33">
        <f>IFERROR('Raw OI Data'!C7/'Raw OI Data'!D7,0)</f>
        <v/>
      </c>
      <c r="H14" s="33">
        <f>IFERROR('Raw OI Data'!C8/'Raw OI Data'!D8,0)</f>
        <v/>
      </c>
      <c r="I14" s="33">
        <f>IFERROR('Raw OI Data'!C9/'Raw OI Data'!D9,0)</f>
        <v/>
      </c>
      <c r="J14" s="33">
        <f>IFERROR('Raw OI Data'!C10/'Raw OI Data'!D10,0)</f>
        <v/>
      </c>
      <c r="K14" s="26" t="n"/>
      <c r="L14" s="33">
        <f>IFERROR('Raw OI Data'!C11/'Raw OI Data'!D11,0)</f>
        <v/>
      </c>
      <c r="M14" s="33">
        <f>IFERROR('Raw OI Data'!C12/'Raw OI Data'!D12,0)</f>
        <v/>
      </c>
      <c r="N14" s="33">
        <f>IFERROR('Raw OI Data'!C13/'Raw OI Data'!D13,0)</f>
        <v/>
      </c>
      <c r="O14" s="33">
        <f>IFERROR('Raw OI Data'!C14/'Raw OI Data'!D14,0)</f>
        <v/>
      </c>
      <c r="P14" s="26" t="n"/>
      <c r="Q14" s="33">
        <f>IFERROR('Raw OI Data'!C15/'Raw OI Data'!D15,0)</f>
        <v/>
      </c>
      <c r="R14" s="33">
        <f>IFERROR('Raw OI Data'!C16/'Raw OI Data'!D16,0)</f>
        <v/>
      </c>
      <c r="S14" s="33">
        <f>IFERROR('Raw OI Data'!C17/'Raw OI Data'!D17,0)</f>
        <v/>
      </c>
      <c r="T14" s="33">
        <f>IFERROR('Raw OI Data'!C18/'Raw OI Data'!D18,0)</f>
        <v/>
      </c>
      <c r="U14" s="26" t="n"/>
      <c r="V14" s="33">
        <f>IFERROR('Raw OI Data'!C19/'Raw OI Data'!D19,0)</f>
        <v/>
      </c>
      <c r="W14" s="33">
        <f>IFERROR('Raw OI Data'!C20/'Raw OI Data'!D20,0)</f>
        <v/>
      </c>
      <c r="X14" s="33">
        <f>IFERROR('Raw OI Data'!C21/'Raw OI Data'!D21,0)</f>
        <v/>
      </c>
      <c r="Y14" s="33">
        <f>IFERROR('Raw OI Data'!C22/'Raw OI Data'!D22,0)</f>
        <v/>
      </c>
      <c r="Z14" s="26" t="n"/>
    </row>
    <row r="15" ht="14" customHeight="1">
      <c r="A15" s="25" t="inlineStr">
        <is>
          <t>Fut Stock L/S</t>
        </is>
      </c>
      <c r="B15" s="29">
        <f>IFERROR('Raw OI Data'!E3/'Raw OI Data'!F3,0)</f>
        <v/>
      </c>
      <c r="C15" s="29">
        <f>IFERROR('Raw OI Data'!E4/'Raw OI Data'!F4,0)</f>
        <v/>
      </c>
      <c r="D15" s="29">
        <f>IFERROR('Raw OI Data'!E5/'Raw OI Data'!F5,0)</f>
        <v/>
      </c>
      <c r="E15" s="29">
        <f>IFERROR('Raw OI Data'!E6/'Raw OI Data'!F6,0)</f>
        <v/>
      </c>
      <c r="F15" s="27" t="n"/>
      <c r="G15" s="29">
        <f>IFERROR('Raw OI Data'!E7/'Raw OI Data'!F7,0)</f>
        <v/>
      </c>
      <c r="H15" s="29">
        <f>IFERROR('Raw OI Data'!E8/'Raw OI Data'!F8,0)</f>
        <v/>
      </c>
      <c r="I15" s="29">
        <f>IFERROR('Raw OI Data'!E9/'Raw OI Data'!F9,0)</f>
        <v/>
      </c>
      <c r="J15" s="29">
        <f>IFERROR('Raw OI Data'!E10/'Raw OI Data'!F10,0)</f>
        <v/>
      </c>
      <c r="K15" s="27" t="n"/>
      <c r="L15" s="29">
        <f>IFERROR('Raw OI Data'!E11/'Raw OI Data'!F11,0)</f>
        <v/>
      </c>
      <c r="M15" s="29">
        <f>IFERROR('Raw OI Data'!E12/'Raw OI Data'!F12,0)</f>
        <v/>
      </c>
      <c r="N15" s="29">
        <f>IFERROR('Raw OI Data'!E13/'Raw OI Data'!F13,0)</f>
        <v/>
      </c>
      <c r="O15" s="29">
        <f>IFERROR('Raw OI Data'!E14/'Raw OI Data'!F14,0)</f>
        <v/>
      </c>
      <c r="P15" s="27" t="n"/>
      <c r="Q15" s="29">
        <f>IFERROR('Raw OI Data'!E15/'Raw OI Data'!F15,0)</f>
        <v/>
      </c>
      <c r="R15" s="29">
        <f>IFERROR('Raw OI Data'!E16/'Raw OI Data'!F16,0)</f>
        <v/>
      </c>
      <c r="S15" s="29">
        <f>IFERROR('Raw OI Data'!E17/'Raw OI Data'!F17,0)</f>
        <v/>
      </c>
      <c r="T15" s="29">
        <f>IFERROR('Raw OI Data'!E18/'Raw OI Data'!F18,0)</f>
        <v/>
      </c>
      <c r="U15" s="27" t="n"/>
      <c r="V15" s="29">
        <f>IFERROR('Raw OI Data'!E19/'Raw OI Data'!F19,0)</f>
        <v/>
      </c>
      <c r="W15" s="29">
        <f>IFERROR('Raw OI Data'!E20/'Raw OI Data'!F20,0)</f>
        <v/>
      </c>
      <c r="X15" s="29">
        <f>IFERROR('Raw OI Data'!E21/'Raw OI Data'!F21,0)</f>
        <v/>
      </c>
      <c r="Y15" s="29">
        <f>IFERROR('Raw OI Data'!E22/'Raw OI Data'!F22,0)</f>
        <v/>
      </c>
      <c r="Z15" s="27" t="n"/>
    </row>
    <row r="16" ht="14" customHeight="1">
      <c r="A16" s="25" t="inlineStr">
        <is>
          <t>Total L/S Ratio</t>
        </is>
      </c>
      <c r="B16" s="33">
        <f>IFERROR('Raw OI Data'!O3/'Raw OI Data'!P3,0)</f>
        <v/>
      </c>
      <c r="C16" s="33">
        <f>IFERROR('Raw OI Data'!O4/'Raw OI Data'!P4,0)</f>
        <v/>
      </c>
      <c r="D16" s="33">
        <f>IFERROR('Raw OI Data'!O5/'Raw OI Data'!P5,0)</f>
        <v/>
      </c>
      <c r="E16" s="33">
        <f>IFERROR('Raw OI Data'!O6/'Raw OI Data'!P6,0)</f>
        <v/>
      </c>
      <c r="F16" s="26" t="n"/>
      <c r="G16" s="33">
        <f>IFERROR('Raw OI Data'!O7/'Raw OI Data'!P7,0)</f>
        <v/>
      </c>
      <c r="H16" s="33">
        <f>IFERROR('Raw OI Data'!O8/'Raw OI Data'!P8,0)</f>
        <v/>
      </c>
      <c r="I16" s="33">
        <f>IFERROR('Raw OI Data'!O9/'Raw OI Data'!P9,0)</f>
        <v/>
      </c>
      <c r="J16" s="33">
        <f>IFERROR('Raw OI Data'!O10/'Raw OI Data'!P10,0)</f>
        <v/>
      </c>
      <c r="K16" s="26" t="n"/>
      <c r="L16" s="33">
        <f>IFERROR('Raw OI Data'!O11/'Raw OI Data'!P11,0)</f>
        <v/>
      </c>
      <c r="M16" s="33">
        <f>IFERROR('Raw OI Data'!O12/'Raw OI Data'!P12,0)</f>
        <v/>
      </c>
      <c r="N16" s="33">
        <f>IFERROR('Raw OI Data'!O13/'Raw OI Data'!P13,0)</f>
        <v/>
      </c>
      <c r="O16" s="33">
        <f>IFERROR('Raw OI Data'!O14/'Raw OI Data'!P14,0)</f>
        <v/>
      </c>
      <c r="P16" s="26" t="n"/>
      <c r="Q16" s="33">
        <f>IFERROR('Raw OI Data'!O15/'Raw OI Data'!P15,0)</f>
        <v/>
      </c>
      <c r="R16" s="33">
        <f>IFERROR('Raw OI Data'!O16/'Raw OI Data'!P16,0)</f>
        <v/>
      </c>
      <c r="S16" s="33">
        <f>IFERROR('Raw OI Data'!O17/'Raw OI Data'!P17,0)</f>
        <v/>
      </c>
      <c r="T16" s="33">
        <f>IFERROR('Raw OI Data'!O18/'Raw OI Data'!P18,0)</f>
        <v/>
      </c>
      <c r="U16" s="26" t="n"/>
      <c r="V16" s="33">
        <f>IFERROR('Raw OI Data'!O19/'Raw OI Data'!P19,0)</f>
        <v/>
      </c>
      <c r="W16" s="33">
        <f>IFERROR('Raw OI Data'!O20/'Raw OI Data'!P20,0)</f>
        <v/>
      </c>
      <c r="X16" s="33">
        <f>IFERROR('Raw OI Data'!O21/'Raw OI Data'!P21,0)</f>
        <v/>
      </c>
      <c r="Y16" s="33">
        <f>IFERROR('Raw OI Data'!O22/'Raw OI Data'!P22,0)</f>
        <v/>
      </c>
      <c r="Z16" s="26" t="n"/>
    </row>
    <row r="17" ht="16" customHeight="1">
      <c r="A17" s="14" t="inlineStr">
        <is>
          <t>MARKET SHARE</t>
        </is>
      </c>
    </row>
    <row r="18" ht="14" customHeight="1">
      <c r="A18" s="25" t="inlineStr">
        <is>
          <t>% Mkt Long</t>
        </is>
      </c>
      <c r="B18" s="30">
        <f>IFERROR('Raw OI Data'!O3/SUM('Raw OI Data'!O3,'Raw OI Data'!O4,'Raw OI Data'!O5,'Raw OI Data'!O6),0)</f>
        <v/>
      </c>
      <c r="C18" s="30">
        <f>IFERROR('Raw OI Data'!O4/SUM('Raw OI Data'!O3,'Raw OI Data'!O4,'Raw OI Data'!O5,'Raw OI Data'!O6),0)</f>
        <v/>
      </c>
      <c r="D18" s="30">
        <f>IFERROR('Raw OI Data'!O5/SUM('Raw OI Data'!O3,'Raw OI Data'!O4,'Raw OI Data'!O5,'Raw OI Data'!O6),0)</f>
        <v/>
      </c>
      <c r="E18" s="30">
        <f>IFERROR('Raw OI Data'!O6/SUM('Raw OI Data'!O3,'Raw OI Data'!O4,'Raw OI Data'!O5,'Raw OI Data'!O6),0)</f>
        <v/>
      </c>
      <c r="F18" s="26" t="n"/>
      <c r="G18" s="30">
        <f>IFERROR('Raw OI Data'!O7/SUM('Raw OI Data'!O7,'Raw OI Data'!O8,'Raw OI Data'!O9,'Raw OI Data'!O10),0)</f>
        <v/>
      </c>
      <c r="H18" s="30">
        <f>IFERROR('Raw OI Data'!O8/SUM('Raw OI Data'!O7,'Raw OI Data'!O8,'Raw OI Data'!O9,'Raw OI Data'!O10),0)</f>
        <v/>
      </c>
      <c r="I18" s="30">
        <f>IFERROR('Raw OI Data'!O9/SUM('Raw OI Data'!O7,'Raw OI Data'!O8,'Raw OI Data'!O9,'Raw OI Data'!O10),0)</f>
        <v/>
      </c>
      <c r="J18" s="30">
        <f>IFERROR('Raw OI Data'!O10/SUM('Raw OI Data'!O7,'Raw OI Data'!O8,'Raw OI Data'!O9,'Raw OI Data'!O10),0)</f>
        <v/>
      </c>
      <c r="K18" s="26" t="n"/>
      <c r="L18" s="30">
        <f>IFERROR('Raw OI Data'!O11/SUM('Raw OI Data'!O11,'Raw OI Data'!O12,'Raw OI Data'!O13,'Raw OI Data'!O14),0)</f>
        <v/>
      </c>
      <c r="M18" s="30">
        <f>IFERROR('Raw OI Data'!O12/SUM('Raw OI Data'!O11,'Raw OI Data'!O12,'Raw OI Data'!O13,'Raw OI Data'!O14),0)</f>
        <v/>
      </c>
      <c r="N18" s="30">
        <f>IFERROR('Raw OI Data'!O13/SUM('Raw OI Data'!O11,'Raw OI Data'!O12,'Raw OI Data'!O13,'Raw OI Data'!O14),0)</f>
        <v/>
      </c>
      <c r="O18" s="30">
        <f>IFERROR('Raw OI Data'!O14/SUM('Raw OI Data'!O11,'Raw OI Data'!O12,'Raw OI Data'!O13,'Raw OI Data'!O14),0)</f>
        <v/>
      </c>
      <c r="P18" s="26" t="n"/>
      <c r="Q18" s="30">
        <f>IFERROR('Raw OI Data'!O15/SUM('Raw OI Data'!O15,'Raw OI Data'!O16,'Raw OI Data'!O17,'Raw OI Data'!O18),0)</f>
        <v/>
      </c>
      <c r="R18" s="30">
        <f>IFERROR('Raw OI Data'!O16/SUM('Raw OI Data'!O15,'Raw OI Data'!O16,'Raw OI Data'!O17,'Raw OI Data'!O18),0)</f>
        <v/>
      </c>
      <c r="S18" s="30">
        <f>IFERROR('Raw OI Data'!O17/SUM('Raw OI Data'!O15,'Raw OI Data'!O16,'Raw OI Data'!O17,'Raw OI Data'!O18),0)</f>
        <v/>
      </c>
      <c r="T18" s="30">
        <f>IFERROR('Raw OI Data'!O18/SUM('Raw OI Data'!O15,'Raw OI Data'!O16,'Raw OI Data'!O17,'Raw OI Data'!O18),0)</f>
        <v/>
      </c>
      <c r="U18" s="26" t="n"/>
      <c r="V18" s="30">
        <f>IFERROR('Raw OI Data'!O19/SUM('Raw OI Data'!O19,'Raw OI Data'!O20,'Raw OI Data'!O21,'Raw OI Data'!O22),0)</f>
        <v/>
      </c>
      <c r="W18" s="30">
        <f>IFERROR('Raw OI Data'!O20/SUM('Raw OI Data'!O19,'Raw OI Data'!O20,'Raw OI Data'!O21,'Raw OI Data'!O22),0)</f>
        <v/>
      </c>
      <c r="X18" s="30">
        <f>IFERROR('Raw OI Data'!O21/SUM('Raw OI Data'!O19,'Raw OI Data'!O20,'Raw OI Data'!O21,'Raw OI Data'!O22),0)</f>
        <v/>
      </c>
      <c r="Y18" s="30">
        <f>IFERROR('Raw OI Data'!O22/SUM('Raw OI Data'!O19,'Raw OI Data'!O20,'Raw OI Data'!O21,'Raw OI Data'!O22),0)</f>
        <v/>
      </c>
      <c r="Z18" s="26" t="n"/>
    </row>
    <row r="19" ht="14" customHeight="1">
      <c r="A19" s="25" t="inlineStr">
        <is>
          <t>% Mkt Short</t>
        </is>
      </c>
      <c r="B19" s="31">
        <f>IFERROR('Raw OI Data'!P3/SUM('Raw OI Data'!P3,'Raw OI Data'!P4,'Raw OI Data'!P5,'Raw OI Data'!P6),0)</f>
        <v/>
      </c>
      <c r="C19" s="31">
        <f>IFERROR('Raw OI Data'!P4/SUM('Raw OI Data'!P3,'Raw OI Data'!P4,'Raw OI Data'!P5,'Raw OI Data'!P6),0)</f>
        <v/>
      </c>
      <c r="D19" s="31">
        <f>IFERROR('Raw OI Data'!P5/SUM('Raw OI Data'!P3,'Raw OI Data'!P4,'Raw OI Data'!P5,'Raw OI Data'!P6),0)</f>
        <v/>
      </c>
      <c r="E19" s="31">
        <f>IFERROR('Raw OI Data'!P6/SUM('Raw OI Data'!P3,'Raw OI Data'!P4,'Raw OI Data'!P5,'Raw OI Data'!P6),0)</f>
        <v/>
      </c>
      <c r="F19" s="27" t="n"/>
      <c r="G19" s="31">
        <f>IFERROR('Raw OI Data'!P7/SUM('Raw OI Data'!P7,'Raw OI Data'!P8,'Raw OI Data'!P9,'Raw OI Data'!P10),0)</f>
        <v/>
      </c>
      <c r="H19" s="31">
        <f>IFERROR('Raw OI Data'!P8/SUM('Raw OI Data'!P7,'Raw OI Data'!P8,'Raw OI Data'!P9,'Raw OI Data'!P10),0)</f>
        <v/>
      </c>
      <c r="I19" s="31">
        <f>IFERROR('Raw OI Data'!P9/SUM('Raw OI Data'!P7,'Raw OI Data'!P8,'Raw OI Data'!P9,'Raw OI Data'!P10),0)</f>
        <v/>
      </c>
      <c r="J19" s="31">
        <f>IFERROR('Raw OI Data'!P10/SUM('Raw OI Data'!P7,'Raw OI Data'!P8,'Raw OI Data'!P9,'Raw OI Data'!P10),0)</f>
        <v/>
      </c>
      <c r="K19" s="27" t="n"/>
      <c r="L19" s="31">
        <f>IFERROR('Raw OI Data'!P11/SUM('Raw OI Data'!P11,'Raw OI Data'!P12,'Raw OI Data'!P13,'Raw OI Data'!P14),0)</f>
        <v/>
      </c>
      <c r="M19" s="31">
        <f>IFERROR('Raw OI Data'!P12/SUM('Raw OI Data'!P11,'Raw OI Data'!P12,'Raw OI Data'!P13,'Raw OI Data'!P14),0)</f>
        <v/>
      </c>
      <c r="N19" s="31">
        <f>IFERROR('Raw OI Data'!P13/SUM('Raw OI Data'!P11,'Raw OI Data'!P12,'Raw OI Data'!P13,'Raw OI Data'!P14),0)</f>
        <v/>
      </c>
      <c r="O19" s="31">
        <f>IFERROR('Raw OI Data'!P14/SUM('Raw OI Data'!P11,'Raw OI Data'!P12,'Raw OI Data'!P13,'Raw OI Data'!P14),0)</f>
        <v/>
      </c>
      <c r="P19" s="27" t="n"/>
      <c r="Q19" s="31">
        <f>IFERROR('Raw OI Data'!P15/SUM('Raw OI Data'!P15,'Raw OI Data'!P16,'Raw OI Data'!P17,'Raw OI Data'!P18),0)</f>
        <v/>
      </c>
      <c r="R19" s="31">
        <f>IFERROR('Raw OI Data'!P16/SUM('Raw OI Data'!P15,'Raw OI Data'!P16,'Raw OI Data'!P17,'Raw OI Data'!P18),0)</f>
        <v/>
      </c>
      <c r="S19" s="31">
        <f>IFERROR('Raw OI Data'!P17/SUM('Raw OI Data'!P15,'Raw OI Data'!P16,'Raw OI Data'!P17,'Raw OI Data'!P18),0)</f>
        <v/>
      </c>
      <c r="T19" s="31">
        <f>IFERROR('Raw OI Data'!P18/SUM('Raw OI Data'!P15,'Raw OI Data'!P16,'Raw OI Data'!P17,'Raw OI Data'!P18),0)</f>
        <v/>
      </c>
      <c r="U19" s="27" t="n"/>
      <c r="V19" s="31">
        <f>IFERROR('Raw OI Data'!P19/SUM('Raw OI Data'!P19,'Raw OI Data'!P20,'Raw OI Data'!P21,'Raw OI Data'!P22),0)</f>
        <v/>
      </c>
      <c r="W19" s="31">
        <f>IFERROR('Raw OI Data'!P20/SUM('Raw OI Data'!P19,'Raw OI Data'!P20,'Raw OI Data'!P21,'Raw OI Data'!P22),0)</f>
        <v/>
      </c>
      <c r="X19" s="31">
        <f>IFERROR('Raw OI Data'!P21/SUM('Raw OI Data'!P19,'Raw OI Data'!P20,'Raw OI Data'!P21,'Raw OI Data'!P22),0)</f>
        <v/>
      </c>
      <c r="Y19" s="31">
        <f>IFERROR('Raw OI Data'!P22/SUM('Raw OI Data'!P19,'Raw OI Data'!P20,'Raw OI Data'!P21,'Raw OI Data'!P22),0)</f>
        <v/>
      </c>
      <c r="Z19" s="27" t="n"/>
    </row>
    <row r="20" ht="14" customHeight="1">
      <c r="A20" s="25" t="inlineStr">
        <is>
          <t>% Mkt Fut Idx Long</t>
        </is>
      </c>
      <c r="B20" s="30">
        <f>IFERROR('Raw OI Data'!C3/SUM('Raw OI Data'!C3,'Raw OI Data'!C4,'Raw OI Data'!C5,'Raw OI Data'!C6),0)</f>
        <v/>
      </c>
      <c r="C20" s="30">
        <f>IFERROR('Raw OI Data'!C4/SUM('Raw OI Data'!C3,'Raw OI Data'!C4,'Raw OI Data'!C5,'Raw OI Data'!C6),0)</f>
        <v/>
      </c>
      <c r="D20" s="30">
        <f>IFERROR('Raw OI Data'!C5/SUM('Raw OI Data'!C3,'Raw OI Data'!C4,'Raw OI Data'!C5,'Raw OI Data'!C6),0)</f>
        <v/>
      </c>
      <c r="E20" s="30">
        <f>IFERROR('Raw OI Data'!C6/SUM('Raw OI Data'!C3,'Raw OI Data'!C4,'Raw OI Data'!C5,'Raw OI Data'!C6),0)</f>
        <v/>
      </c>
      <c r="F20" s="26" t="n"/>
      <c r="G20" s="30">
        <f>IFERROR('Raw OI Data'!C7/SUM('Raw OI Data'!C7,'Raw OI Data'!C8,'Raw OI Data'!C9,'Raw OI Data'!C10),0)</f>
        <v/>
      </c>
      <c r="H20" s="30">
        <f>IFERROR('Raw OI Data'!C8/SUM('Raw OI Data'!C7,'Raw OI Data'!C8,'Raw OI Data'!C9,'Raw OI Data'!C10),0)</f>
        <v/>
      </c>
      <c r="I20" s="30">
        <f>IFERROR('Raw OI Data'!C9/SUM('Raw OI Data'!C7,'Raw OI Data'!C8,'Raw OI Data'!C9,'Raw OI Data'!C10),0)</f>
        <v/>
      </c>
      <c r="J20" s="30">
        <f>IFERROR('Raw OI Data'!C10/SUM('Raw OI Data'!C7,'Raw OI Data'!C8,'Raw OI Data'!C9,'Raw OI Data'!C10),0)</f>
        <v/>
      </c>
      <c r="K20" s="26" t="n"/>
      <c r="L20" s="30">
        <f>IFERROR('Raw OI Data'!C11/SUM('Raw OI Data'!C11,'Raw OI Data'!C12,'Raw OI Data'!C13,'Raw OI Data'!C14),0)</f>
        <v/>
      </c>
      <c r="M20" s="30">
        <f>IFERROR('Raw OI Data'!C12/SUM('Raw OI Data'!C11,'Raw OI Data'!C12,'Raw OI Data'!C13,'Raw OI Data'!C14),0)</f>
        <v/>
      </c>
      <c r="N20" s="30">
        <f>IFERROR('Raw OI Data'!C13/SUM('Raw OI Data'!C11,'Raw OI Data'!C12,'Raw OI Data'!C13,'Raw OI Data'!C14),0)</f>
        <v/>
      </c>
      <c r="O20" s="30">
        <f>IFERROR('Raw OI Data'!C14/SUM('Raw OI Data'!C11,'Raw OI Data'!C12,'Raw OI Data'!C13,'Raw OI Data'!C14),0)</f>
        <v/>
      </c>
      <c r="P20" s="26" t="n"/>
      <c r="Q20" s="30">
        <f>IFERROR('Raw OI Data'!C15/SUM('Raw OI Data'!C15,'Raw OI Data'!C16,'Raw OI Data'!C17,'Raw OI Data'!C18),0)</f>
        <v/>
      </c>
      <c r="R20" s="30">
        <f>IFERROR('Raw OI Data'!C16/SUM('Raw OI Data'!C15,'Raw OI Data'!C16,'Raw OI Data'!C17,'Raw OI Data'!C18),0)</f>
        <v/>
      </c>
      <c r="S20" s="30">
        <f>IFERROR('Raw OI Data'!C17/SUM('Raw OI Data'!C15,'Raw OI Data'!C16,'Raw OI Data'!C17,'Raw OI Data'!C18),0)</f>
        <v/>
      </c>
      <c r="T20" s="30">
        <f>IFERROR('Raw OI Data'!C18/SUM('Raw OI Data'!C15,'Raw OI Data'!C16,'Raw OI Data'!C17,'Raw OI Data'!C18),0)</f>
        <v/>
      </c>
      <c r="U20" s="26" t="n"/>
      <c r="V20" s="30">
        <f>IFERROR('Raw OI Data'!C19/SUM('Raw OI Data'!C19,'Raw OI Data'!C20,'Raw OI Data'!C21,'Raw OI Data'!C22),0)</f>
        <v/>
      </c>
      <c r="W20" s="30">
        <f>IFERROR('Raw OI Data'!C20/SUM('Raw OI Data'!C19,'Raw OI Data'!C20,'Raw OI Data'!C21,'Raw OI Data'!C22),0)</f>
        <v/>
      </c>
      <c r="X20" s="30">
        <f>IFERROR('Raw OI Data'!C21/SUM('Raw OI Data'!C19,'Raw OI Data'!C20,'Raw OI Data'!C21,'Raw OI Data'!C22),0)</f>
        <v/>
      </c>
      <c r="Y20" s="30">
        <f>IFERROR('Raw OI Data'!C22/SUM('Raw OI Data'!C19,'Raw OI Data'!C20,'Raw OI Data'!C21,'Raw OI Data'!C22),0)</f>
        <v/>
      </c>
      <c r="Z20" s="26" t="n"/>
    </row>
    <row r="21" ht="14" customHeight="1">
      <c r="A21" s="25" t="inlineStr">
        <is>
          <t>% Mkt Fut Stk Short</t>
        </is>
      </c>
      <c r="B21" s="31">
        <f>IFERROR('Raw OI Data'!F3/SUM('Raw OI Data'!F3,'Raw OI Data'!F4,'Raw OI Data'!F5,'Raw OI Data'!F6),0)</f>
        <v/>
      </c>
      <c r="C21" s="31">
        <f>IFERROR('Raw OI Data'!F4/SUM('Raw OI Data'!F3,'Raw OI Data'!F4,'Raw OI Data'!F5,'Raw OI Data'!F6),0)</f>
        <v/>
      </c>
      <c r="D21" s="31">
        <f>IFERROR('Raw OI Data'!F5/SUM('Raw OI Data'!F3,'Raw OI Data'!F4,'Raw OI Data'!F5,'Raw OI Data'!F6),0)</f>
        <v/>
      </c>
      <c r="E21" s="31">
        <f>IFERROR('Raw OI Data'!F6/SUM('Raw OI Data'!F3,'Raw OI Data'!F4,'Raw OI Data'!F5,'Raw OI Data'!F6),0)</f>
        <v/>
      </c>
      <c r="F21" s="27" t="n"/>
      <c r="G21" s="31">
        <f>IFERROR('Raw OI Data'!F7/SUM('Raw OI Data'!F7,'Raw OI Data'!F8,'Raw OI Data'!F9,'Raw OI Data'!F10),0)</f>
        <v/>
      </c>
      <c r="H21" s="31">
        <f>IFERROR('Raw OI Data'!F8/SUM('Raw OI Data'!F7,'Raw OI Data'!F8,'Raw OI Data'!F9,'Raw OI Data'!F10),0)</f>
        <v/>
      </c>
      <c r="I21" s="31">
        <f>IFERROR('Raw OI Data'!F9/SUM('Raw OI Data'!F7,'Raw OI Data'!F8,'Raw OI Data'!F9,'Raw OI Data'!F10),0)</f>
        <v/>
      </c>
      <c r="J21" s="31">
        <f>IFERROR('Raw OI Data'!F10/SUM('Raw OI Data'!F7,'Raw OI Data'!F8,'Raw OI Data'!F9,'Raw OI Data'!F10),0)</f>
        <v/>
      </c>
      <c r="K21" s="27" t="n"/>
      <c r="L21" s="31">
        <f>IFERROR('Raw OI Data'!F11/SUM('Raw OI Data'!F11,'Raw OI Data'!F12,'Raw OI Data'!F13,'Raw OI Data'!F14),0)</f>
        <v/>
      </c>
      <c r="M21" s="31">
        <f>IFERROR('Raw OI Data'!F12/SUM('Raw OI Data'!F11,'Raw OI Data'!F12,'Raw OI Data'!F13,'Raw OI Data'!F14),0)</f>
        <v/>
      </c>
      <c r="N21" s="31">
        <f>IFERROR('Raw OI Data'!F13/SUM('Raw OI Data'!F11,'Raw OI Data'!F12,'Raw OI Data'!F13,'Raw OI Data'!F14),0)</f>
        <v/>
      </c>
      <c r="O21" s="31">
        <f>IFERROR('Raw OI Data'!F14/SUM('Raw OI Data'!F11,'Raw OI Data'!F12,'Raw OI Data'!F13,'Raw OI Data'!F14),0)</f>
        <v/>
      </c>
      <c r="P21" s="27" t="n"/>
      <c r="Q21" s="31">
        <f>IFERROR('Raw OI Data'!F15/SUM('Raw OI Data'!F15,'Raw OI Data'!F16,'Raw OI Data'!F17,'Raw OI Data'!F18),0)</f>
        <v/>
      </c>
      <c r="R21" s="31">
        <f>IFERROR('Raw OI Data'!F16/SUM('Raw OI Data'!F15,'Raw OI Data'!F16,'Raw OI Data'!F17,'Raw OI Data'!F18),0)</f>
        <v/>
      </c>
      <c r="S21" s="31">
        <f>IFERROR('Raw OI Data'!F17/SUM('Raw OI Data'!F15,'Raw OI Data'!F16,'Raw OI Data'!F17,'Raw OI Data'!F18),0)</f>
        <v/>
      </c>
      <c r="T21" s="31">
        <f>IFERROR('Raw OI Data'!F18/SUM('Raw OI Data'!F15,'Raw OI Data'!F16,'Raw OI Data'!F17,'Raw OI Data'!F18),0)</f>
        <v/>
      </c>
      <c r="U21" s="27" t="n"/>
      <c r="V21" s="31">
        <f>IFERROR('Raw OI Data'!F19/SUM('Raw OI Data'!F19,'Raw OI Data'!F20,'Raw OI Data'!F21,'Raw OI Data'!F22),0)</f>
        <v/>
      </c>
      <c r="W21" s="31">
        <f>IFERROR('Raw OI Data'!F20/SUM('Raw OI Data'!F19,'Raw OI Data'!F20,'Raw OI Data'!F21,'Raw OI Data'!F22),0)</f>
        <v/>
      </c>
      <c r="X21" s="31">
        <f>IFERROR('Raw OI Data'!F21/SUM('Raw OI Data'!F19,'Raw OI Data'!F20,'Raw OI Data'!F21,'Raw OI Data'!F22),0)</f>
        <v/>
      </c>
      <c r="Y21" s="31">
        <f>IFERROR('Raw OI Data'!F22/SUM('Raw OI Data'!F19,'Raw OI Data'!F20,'Raw OI Data'!F21,'Raw OI Data'!F22),0)</f>
        <v/>
      </c>
      <c r="Z21" s="27" t="n"/>
    </row>
  </sheetData>
  <mergeCells count="9">
    <mergeCell ref="A13:Z13"/>
    <mergeCell ref="A1:Z1"/>
    <mergeCell ref="A17:Z17"/>
    <mergeCell ref="V2:Y2"/>
    <mergeCell ref="L2:O2"/>
    <mergeCell ref="A4:Z4"/>
    <mergeCell ref="G2:J2"/>
    <mergeCell ref="B2:E2"/>
    <mergeCell ref="Q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2" customWidth="1" min="6" max="6"/>
    <col width="13" customWidth="1" min="7" max="7"/>
    <col width="13" customWidth="1" min="8" max="8"/>
    <col width="13" customWidth="1" min="9" max="9"/>
    <col width="13" customWidth="1" min="10" max="10"/>
    <col width="2" customWidth="1" min="11" max="11"/>
    <col width="13" customWidth="1" min="12" max="12"/>
    <col width="13" customWidth="1" min="13" max="13"/>
    <col width="13" customWidth="1" min="14" max="14"/>
    <col width="13" customWidth="1" min="15" max="15"/>
    <col width="2" customWidth="1" min="16" max="16"/>
    <col width="13" customWidth="1" min="17" max="17"/>
    <col width="13" customWidth="1" min="18" max="18"/>
    <col width="13" customWidth="1" min="19" max="19"/>
    <col width="13" customWidth="1" min="20" max="20"/>
    <col width="2" customWidth="1" min="21" max="21"/>
    <col width="13" customWidth="1" min="22" max="22"/>
    <col width="13" customWidth="1" min="23" max="23"/>
    <col width="13" customWidth="1" min="24" max="24"/>
    <col width="13" customWidth="1" min="25" max="25"/>
    <col width="2" customWidth="1" min="26" max="26"/>
  </cols>
  <sheetData>
    <row r="1" ht="22" customHeight="1">
      <c r="A1" s="1" t="inlineStr">
        <is>
          <t>NSE FAO — Put-Call Ratio Analysis (Participant OI, Volume &amp; Chain)</t>
        </is>
      </c>
    </row>
    <row r="2" ht="16" customHeight="1">
      <c r="A2" s="19" t="inlineStr">
        <is>
          <t>Metric</t>
        </is>
      </c>
      <c r="B2" s="19" t="inlineStr">
        <is>
          <t>Jun 30 2026</t>
        </is>
      </c>
      <c r="C2" s="20" t="n"/>
      <c r="D2" s="20" t="n"/>
      <c r="E2" s="20" t="n"/>
      <c r="F2" s="20" t="n"/>
      <c r="G2" s="19" t="inlineStr">
        <is>
          <t>Jul 01 2026</t>
        </is>
      </c>
      <c r="H2" s="20" t="n"/>
      <c r="I2" s="20" t="n"/>
      <c r="J2" s="20" t="n"/>
      <c r="K2" s="20" t="n"/>
      <c r="L2" s="19" t="inlineStr">
        <is>
          <t>Jul 02 2026</t>
        </is>
      </c>
      <c r="M2" s="20" t="n"/>
      <c r="N2" s="20" t="n"/>
      <c r="O2" s="20" t="n"/>
      <c r="P2" s="20" t="n"/>
      <c r="Q2" s="19" t="inlineStr">
        <is>
          <t>Jul 03 2026</t>
        </is>
      </c>
      <c r="R2" s="20" t="n"/>
      <c r="S2" s="20" t="n"/>
      <c r="T2" s="20" t="n"/>
      <c r="U2" s="20" t="n"/>
      <c r="V2" s="19" t="inlineStr">
        <is>
          <t>Jul 06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PARTICIPANT OI PCR  (Put Long / Call Long)</t>
        </is>
      </c>
    </row>
    <row r="5" ht="14" customHeight="1">
      <c r="A5" s="25" t="inlineStr">
        <is>
          <t>Index OI PCR</t>
        </is>
      </c>
      <c r="B5" s="18">
        <f>IFERROR('Raw OI Data'!H3/'Raw OI Data'!G3,0)</f>
        <v/>
      </c>
      <c r="C5" s="18">
        <f>IFERROR('Raw OI Data'!H4/'Raw OI Data'!G4,0)</f>
        <v/>
      </c>
      <c r="D5" s="18">
        <f>IFERROR('Raw OI Data'!H5/'Raw OI Data'!G5,0)</f>
        <v/>
      </c>
      <c r="E5" s="18">
        <f>IFERROR('Raw OI Data'!H6/'Raw OI Data'!G6,0)</f>
        <v/>
      </c>
      <c r="F5" s="26" t="n"/>
      <c r="G5" s="18">
        <f>IFERROR('Raw OI Data'!H7/'Raw OI Data'!G7,0)</f>
        <v/>
      </c>
      <c r="H5" s="18">
        <f>IFERROR('Raw OI Data'!H8/'Raw OI Data'!G8,0)</f>
        <v/>
      </c>
      <c r="I5" s="18">
        <f>IFERROR('Raw OI Data'!H9/'Raw OI Data'!G9,0)</f>
        <v/>
      </c>
      <c r="J5" s="18">
        <f>IFERROR('Raw OI Data'!H10/'Raw OI Data'!G10,0)</f>
        <v/>
      </c>
      <c r="K5" s="26" t="n"/>
      <c r="L5" s="18">
        <f>IFERROR('Raw OI Data'!H11/'Raw OI Data'!G11,0)</f>
        <v/>
      </c>
      <c r="M5" s="18">
        <f>IFERROR('Raw OI Data'!H12/'Raw OI Data'!G12,0)</f>
        <v/>
      </c>
      <c r="N5" s="18">
        <f>IFERROR('Raw OI Data'!H13/'Raw OI Data'!G13,0)</f>
        <v/>
      </c>
      <c r="O5" s="18">
        <f>IFERROR('Raw OI Data'!H14/'Raw OI Data'!G14,0)</f>
        <v/>
      </c>
      <c r="P5" s="26" t="n"/>
      <c r="Q5" s="18">
        <f>IFERROR('Raw OI Data'!H15/'Raw OI Data'!G15,0)</f>
        <v/>
      </c>
      <c r="R5" s="18">
        <f>IFERROR('Raw OI Data'!H16/'Raw OI Data'!G16,0)</f>
        <v/>
      </c>
      <c r="S5" s="18">
        <f>IFERROR('Raw OI Data'!H17/'Raw OI Data'!G17,0)</f>
        <v/>
      </c>
      <c r="T5" s="18">
        <f>IFERROR('Raw OI Data'!H18/'Raw OI Data'!G18,0)</f>
        <v/>
      </c>
      <c r="U5" s="26" t="n"/>
      <c r="V5" s="18">
        <f>IFERROR('Raw OI Data'!H19/'Raw OI Data'!G19,0)</f>
        <v/>
      </c>
      <c r="W5" s="18">
        <f>IFERROR('Raw OI Data'!H20/'Raw OI Data'!G20,0)</f>
        <v/>
      </c>
      <c r="X5" s="18">
        <f>IFERROR('Raw OI Data'!H21/'Raw OI Data'!G21,0)</f>
        <v/>
      </c>
      <c r="Y5" s="18">
        <f>IFERROR('Raw OI Data'!H22/'Raw OI Data'!G22,0)</f>
        <v/>
      </c>
      <c r="Z5" s="26" t="n"/>
    </row>
    <row r="6" ht="14" customHeight="1">
      <c r="A6" s="25" t="inlineStr">
        <is>
          <t>Stock OI PCR</t>
        </is>
      </c>
      <c r="B6" s="16">
        <f>IFERROR('Raw OI Data'!L3/'Raw OI Data'!K3,0)</f>
        <v/>
      </c>
      <c r="C6" s="16">
        <f>IFERROR('Raw OI Data'!L4/'Raw OI Data'!K4,0)</f>
        <v/>
      </c>
      <c r="D6" s="16">
        <f>IFERROR('Raw OI Data'!L5/'Raw OI Data'!K5,0)</f>
        <v/>
      </c>
      <c r="E6" s="16">
        <f>IFERROR('Raw OI Data'!L6/'Raw OI Data'!K6,0)</f>
        <v/>
      </c>
      <c r="F6" s="27" t="n"/>
      <c r="G6" s="16">
        <f>IFERROR('Raw OI Data'!L7/'Raw OI Data'!K7,0)</f>
        <v/>
      </c>
      <c r="H6" s="16">
        <f>IFERROR('Raw OI Data'!L8/'Raw OI Data'!K8,0)</f>
        <v/>
      </c>
      <c r="I6" s="16">
        <f>IFERROR('Raw OI Data'!L9/'Raw OI Data'!K9,0)</f>
        <v/>
      </c>
      <c r="J6" s="16">
        <f>IFERROR('Raw OI Data'!L10/'Raw OI Data'!K10,0)</f>
        <v/>
      </c>
      <c r="K6" s="27" t="n"/>
      <c r="L6" s="16">
        <f>IFERROR('Raw OI Data'!L11/'Raw OI Data'!K11,0)</f>
        <v/>
      </c>
      <c r="M6" s="16">
        <f>IFERROR('Raw OI Data'!L12/'Raw OI Data'!K12,0)</f>
        <v/>
      </c>
      <c r="N6" s="16">
        <f>IFERROR('Raw OI Data'!L13/'Raw OI Data'!K13,0)</f>
        <v/>
      </c>
      <c r="O6" s="16">
        <f>IFERROR('Raw OI Data'!L14/'Raw OI Data'!K14,0)</f>
        <v/>
      </c>
      <c r="P6" s="27" t="n"/>
      <c r="Q6" s="16">
        <f>IFERROR('Raw OI Data'!L15/'Raw OI Data'!K15,0)</f>
        <v/>
      </c>
      <c r="R6" s="16">
        <f>IFERROR('Raw OI Data'!L16/'Raw OI Data'!K16,0)</f>
        <v/>
      </c>
      <c r="S6" s="16">
        <f>IFERROR('Raw OI Data'!L17/'Raw OI Data'!K17,0)</f>
        <v/>
      </c>
      <c r="T6" s="16">
        <f>IFERROR('Raw OI Data'!L18/'Raw OI Data'!K18,0)</f>
        <v/>
      </c>
      <c r="U6" s="27" t="n"/>
      <c r="V6" s="16">
        <f>IFERROR('Raw OI Data'!L19/'Raw OI Data'!K19,0)</f>
        <v/>
      </c>
      <c r="W6" s="16">
        <f>IFERROR('Raw OI Data'!L20/'Raw OI Data'!K20,0)</f>
        <v/>
      </c>
      <c r="X6" s="16">
        <f>IFERROR('Raw OI Data'!L21/'Raw OI Data'!K21,0)</f>
        <v/>
      </c>
      <c r="Y6" s="16">
        <f>IFERROR('Raw OI Data'!L22/'Raw OI Data'!K22,0)</f>
        <v/>
      </c>
      <c r="Z6" s="27" t="n"/>
    </row>
    <row r="7" ht="14" customHeight="1">
      <c r="A7" s="25" t="inlineStr">
        <is>
          <t>Combined OI PCR</t>
        </is>
      </c>
      <c r="B7" s="18">
        <f>IFERROR(('Raw OI Data'!H3+'Raw OI Data'!L3)/('Raw OI Data'!G3+'Raw OI Data'!K3),0)</f>
        <v/>
      </c>
      <c r="C7" s="18">
        <f>IFERROR(('Raw OI Data'!H4+'Raw OI Data'!L4)/('Raw OI Data'!G4+'Raw OI Data'!K4),0)</f>
        <v/>
      </c>
      <c r="D7" s="18">
        <f>IFERROR(('Raw OI Data'!H5+'Raw OI Data'!L5)/('Raw OI Data'!G5+'Raw OI Data'!K5),0)</f>
        <v/>
      </c>
      <c r="E7" s="18">
        <f>IFERROR(('Raw OI Data'!H6+'Raw OI Data'!L6)/('Raw OI Data'!G6+'Raw OI Data'!K6),0)</f>
        <v/>
      </c>
      <c r="F7" s="26" t="n"/>
      <c r="G7" s="18">
        <f>IFERROR(('Raw OI Data'!H7+'Raw OI Data'!L7)/('Raw OI Data'!G7+'Raw OI Data'!K7),0)</f>
        <v/>
      </c>
      <c r="H7" s="18">
        <f>IFERROR(('Raw OI Data'!H8+'Raw OI Data'!L8)/('Raw OI Data'!G8+'Raw OI Data'!K8),0)</f>
        <v/>
      </c>
      <c r="I7" s="18">
        <f>IFERROR(('Raw OI Data'!H9+'Raw OI Data'!L9)/('Raw OI Data'!G9+'Raw OI Data'!K9),0)</f>
        <v/>
      </c>
      <c r="J7" s="18">
        <f>IFERROR(('Raw OI Data'!H10+'Raw OI Data'!L10)/('Raw OI Data'!G10+'Raw OI Data'!K10),0)</f>
        <v/>
      </c>
      <c r="K7" s="26" t="n"/>
      <c r="L7" s="18">
        <f>IFERROR(('Raw OI Data'!H11+'Raw OI Data'!L11)/('Raw OI Data'!G11+'Raw OI Data'!K11),0)</f>
        <v/>
      </c>
      <c r="M7" s="18">
        <f>IFERROR(('Raw OI Data'!H12+'Raw OI Data'!L12)/('Raw OI Data'!G12+'Raw OI Data'!K12),0)</f>
        <v/>
      </c>
      <c r="N7" s="18">
        <f>IFERROR(('Raw OI Data'!H13+'Raw OI Data'!L13)/('Raw OI Data'!G13+'Raw OI Data'!K13),0)</f>
        <v/>
      </c>
      <c r="O7" s="18">
        <f>IFERROR(('Raw OI Data'!H14+'Raw OI Data'!L14)/('Raw OI Data'!G14+'Raw OI Data'!K14),0)</f>
        <v/>
      </c>
      <c r="P7" s="26" t="n"/>
      <c r="Q7" s="18">
        <f>IFERROR(('Raw OI Data'!H15+'Raw OI Data'!L15)/('Raw OI Data'!G15+'Raw OI Data'!K15),0)</f>
        <v/>
      </c>
      <c r="R7" s="18">
        <f>IFERROR(('Raw OI Data'!H16+'Raw OI Data'!L16)/('Raw OI Data'!G16+'Raw OI Data'!K16),0)</f>
        <v/>
      </c>
      <c r="S7" s="18">
        <f>IFERROR(('Raw OI Data'!H17+'Raw OI Data'!L17)/('Raw OI Data'!G17+'Raw OI Data'!K17),0)</f>
        <v/>
      </c>
      <c r="T7" s="18">
        <f>IFERROR(('Raw OI Data'!H18+'Raw OI Data'!L18)/('Raw OI Data'!G18+'Raw OI Data'!K18),0)</f>
        <v/>
      </c>
      <c r="U7" s="26" t="n"/>
      <c r="V7" s="18">
        <f>IFERROR(('Raw OI Data'!H19+'Raw OI Data'!L19)/('Raw OI Data'!G19+'Raw OI Data'!K19),0)</f>
        <v/>
      </c>
      <c r="W7" s="18">
        <f>IFERROR(('Raw OI Data'!H20+'Raw OI Data'!L20)/('Raw OI Data'!G20+'Raw OI Data'!K20),0)</f>
        <v/>
      </c>
      <c r="X7" s="18">
        <f>IFERROR(('Raw OI Data'!H21+'Raw OI Data'!L21)/('Raw OI Data'!G21+'Raw OI Data'!K21),0)</f>
        <v/>
      </c>
      <c r="Y7" s="18">
        <f>IFERROR(('Raw OI Data'!H22+'Raw OI Data'!L22)/('Raw OI Data'!G22+'Raw OI Data'!K22),0)</f>
        <v/>
      </c>
      <c r="Z7" s="26" t="n"/>
    </row>
    <row r="8" ht="14" customHeight="1">
      <c r="A8" s="25" t="inlineStr">
        <is>
          <t>Index Net PCR</t>
        </is>
      </c>
      <c r="B8" s="16">
        <f>IFERROR(('Raw OI Data'!H3-'Raw OI Data'!J3)/('Raw OI Data'!G3-'Raw OI Data'!I3),0)</f>
        <v/>
      </c>
      <c r="C8" s="16">
        <f>IFERROR(('Raw OI Data'!H4-'Raw OI Data'!J4)/('Raw OI Data'!G4-'Raw OI Data'!I4),0)</f>
        <v/>
      </c>
      <c r="D8" s="16">
        <f>IFERROR(('Raw OI Data'!H5-'Raw OI Data'!J5)/('Raw OI Data'!G5-'Raw OI Data'!I5),0)</f>
        <v/>
      </c>
      <c r="E8" s="16">
        <f>IFERROR(('Raw OI Data'!H6-'Raw OI Data'!J6)/('Raw OI Data'!G6-'Raw OI Data'!I6),0)</f>
        <v/>
      </c>
      <c r="F8" s="27" t="n"/>
      <c r="G8" s="16">
        <f>IFERROR(('Raw OI Data'!H7-'Raw OI Data'!J7)/('Raw OI Data'!G7-'Raw OI Data'!I7),0)</f>
        <v/>
      </c>
      <c r="H8" s="16">
        <f>IFERROR(('Raw OI Data'!H8-'Raw OI Data'!J8)/('Raw OI Data'!G8-'Raw OI Data'!I8),0)</f>
        <v/>
      </c>
      <c r="I8" s="16">
        <f>IFERROR(('Raw OI Data'!H9-'Raw OI Data'!J9)/('Raw OI Data'!G9-'Raw OI Data'!I9),0)</f>
        <v/>
      </c>
      <c r="J8" s="16">
        <f>IFERROR(('Raw OI Data'!H10-'Raw OI Data'!J10)/('Raw OI Data'!G10-'Raw OI Data'!I10),0)</f>
        <v/>
      </c>
      <c r="K8" s="27" t="n"/>
      <c r="L8" s="16">
        <f>IFERROR(('Raw OI Data'!H11-'Raw OI Data'!J11)/('Raw OI Data'!G11-'Raw OI Data'!I11),0)</f>
        <v/>
      </c>
      <c r="M8" s="16">
        <f>IFERROR(('Raw OI Data'!H12-'Raw OI Data'!J12)/('Raw OI Data'!G12-'Raw OI Data'!I12),0)</f>
        <v/>
      </c>
      <c r="N8" s="16">
        <f>IFERROR(('Raw OI Data'!H13-'Raw OI Data'!J13)/('Raw OI Data'!G13-'Raw OI Data'!I13),0)</f>
        <v/>
      </c>
      <c r="O8" s="16">
        <f>IFERROR(('Raw OI Data'!H14-'Raw OI Data'!J14)/('Raw OI Data'!G14-'Raw OI Data'!I14),0)</f>
        <v/>
      </c>
      <c r="P8" s="27" t="n"/>
      <c r="Q8" s="16">
        <f>IFERROR(('Raw OI Data'!H15-'Raw OI Data'!J15)/('Raw OI Data'!G15-'Raw OI Data'!I15),0)</f>
        <v/>
      </c>
      <c r="R8" s="16">
        <f>IFERROR(('Raw OI Data'!H16-'Raw OI Data'!J16)/('Raw OI Data'!G16-'Raw OI Data'!I16),0)</f>
        <v/>
      </c>
      <c r="S8" s="16">
        <f>IFERROR(('Raw OI Data'!H17-'Raw OI Data'!J17)/('Raw OI Data'!G17-'Raw OI Data'!I17),0)</f>
        <v/>
      </c>
      <c r="T8" s="16">
        <f>IFERROR(('Raw OI Data'!H18-'Raw OI Data'!J18)/('Raw OI Data'!G18-'Raw OI Data'!I18),0)</f>
        <v/>
      </c>
      <c r="U8" s="27" t="n"/>
      <c r="V8" s="16">
        <f>IFERROR(('Raw OI Data'!H19-'Raw OI Data'!J19)/('Raw OI Data'!G19-'Raw OI Data'!I19),0)</f>
        <v/>
      </c>
      <c r="W8" s="16">
        <f>IFERROR(('Raw OI Data'!H20-'Raw OI Data'!J20)/('Raw OI Data'!G20-'Raw OI Data'!I20),0)</f>
        <v/>
      </c>
      <c r="X8" s="16">
        <f>IFERROR(('Raw OI Data'!H21-'Raw OI Data'!J21)/('Raw OI Data'!G21-'Raw OI Data'!I21),0)</f>
        <v/>
      </c>
      <c r="Y8" s="16">
        <f>IFERROR(('Raw OI Data'!H22-'Raw OI Data'!J22)/('Raw OI Data'!G22-'Raw OI Data'!I22),0)</f>
        <v/>
      </c>
      <c r="Z8" s="27" t="n"/>
    </row>
    <row r="9" ht="14" customHeight="1">
      <c r="A9" s="25" t="inlineStr">
        <is>
          <t>Short-side PCR</t>
        </is>
      </c>
      <c r="B9" s="18">
        <f>IFERROR('Raw OI Data'!J3/'Raw OI Data'!I3,0)</f>
        <v/>
      </c>
      <c r="C9" s="18">
        <f>IFERROR('Raw OI Data'!J4/'Raw OI Data'!I4,0)</f>
        <v/>
      </c>
      <c r="D9" s="18">
        <f>IFERROR('Raw OI Data'!J5/'Raw OI Data'!I5,0)</f>
        <v/>
      </c>
      <c r="E9" s="18">
        <f>IFERROR('Raw OI Data'!J6/'Raw OI Data'!I6,0)</f>
        <v/>
      </c>
      <c r="F9" s="26" t="n"/>
      <c r="G9" s="18">
        <f>IFERROR('Raw OI Data'!J7/'Raw OI Data'!I7,0)</f>
        <v/>
      </c>
      <c r="H9" s="18">
        <f>IFERROR('Raw OI Data'!J8/'Raw OI Data'!I8,0)</f>
        <v/>
      </c>
      <c r="I9" s="18">
        <f>IFERROR('Raw OI Data'!J9/'Raw OI Data'!I9,0)</f>
        <v/>
      </c>
      <c r="J9" s="18">
        <f>IFERROR('Raw OI Data'!J10/'Raw OI Data'!I10,0)</f>
        <v/>
      </c>
      <c r="K9" s="26" t="n"/>
      <c r="L9" s="18">
        <f>IFERROR('Raw OI Data'!J11/'Raw OI Data'!I11,0)</f>
        <v/>
      </c>
      <c r="M9" s="18">
        <f>IFERROR('Raw OI Data'!J12/'Raw OI Data'!I12,0)</f>
        <v/>
      </c>
      <c r="N9" s="18">
        <f>IFERROR('Raw OI Data'!J13/'Raw OI Data'!I13,0)</f>
        <v/>
      </c>
      <c r="O9" s="18">
        <f>IFERROR('Raw OI Data'!J14/'Raw OI Data'!I14,0)</f>
        <v/>
      </c>
      <c r="P9" s="26" t="n"/>
      <c r="Q9" s="18">
        <f>IFERROR('Raw OI Data'!J15/'Raw OI Data'!I15,0)</f>
        <v/>
      </c>
      <c r="R9" s="18">
        <f>IFERROR('Raw OI Data'!J16/'Raw OI Data'!I16,0)</f>
        <v/>
      </c>
      <c r="S9" s="18">
        <f>IFERROR('Raw OI Data'!J17/'Raw OI Data'!I17,0)</f>
        <v/>
      </c>
      <c r="T9" s="18">
        <f>IFERROR('Raw OI Data'!J18/'Raw OI Data'!I18,0)</f>
        <v/>
      </c>
      <c r="U9" s="26" t="n"/>
      <c r="V9" s="18">
        <f>IFERROR('Raw OI Data'!J19/'Raw OI Data'!I19,0)</f>
        <v/>
      </c>
      <c r="W9" s="18">
        <f>IFERROR('Raw OI Data'!J20/'Raw OI Data'!I20,0)</f>
        <v/>
      </c>
      <c r="X9" s="18">
        <f>IFERROR('Raw OI Data'!J21/'Raw OI Data'!I21,0)</f>
        <v/>
      </c>
      <c r="Y9" s="18">
        <f>IFERROR('Raw OI Data'!J22/'Raw OI Data'!I22,0)</f>
        <v/>
      </c>
      <c r="Z9" s="26" t="n"/>
    </row>
    <row r="10" ht="16" customHeight="1">
      <c r="A10" s="14" t="inlineStr">
        <is>
          <t>PARTICIPANT VOLUME PCR  (Put Buy / Call Buy)</t>
        </is>
      </c>
    </row>
    <row r="11" ht="14" customHeight="1">
      <c r="A11" s="25" t="inlineStr">
        <is>
          <t>Index Vol PCR</t>
        </is>
      </c>
      <c r="B11" s="18">
        <f>IFERROR('Raw TV Data'!H3/'Raw TV Data'!G3,0)</f>
        <v/>
      </c>
      <c r="C11" s="18">
        <f>IFERROR('Raw TV Data'!H4/'Raw TV Data'!G4,0)</f>
        <v/>
      </c>
      <c r="D11" s="18">
        <f>IFERROR('Raw TV Data'!H5/'Raw TV Data'!G5,0)</f>
        <v/>
      </c>
      <c r="E11" s="18">
        <f>IFERROR('Raw TV Data'!H6/'Raw TV Data'!G6,0)</f>
        <v/>
      </c>
      <c r="F11" s="26" t="n"/>
      <c r="G11" s="18">
        <f>IFERROR('Raw TV Data'!H7/'Raw TV Data'!G7,0)</f>
        <v/>
      </c>
      <c r="H11" s="18">
        <f>IFERROR('Raw TV Data'!H8/'Raw TV Data'!G8,0)</f>
        <v/>
      </c>
      <c r="I11" s="18">
        <f>IFERROR('Raw TV Data'!H9/'Raw TV Data'!G9,0)</f>
        <v/>
      </c>
      <c r="J11" s="18">
        <f>IFERROR('Raw TV Data'!H10/'Raw TV Data'!G10,0)</f>
        <v/>
      </c>
      <c r="K11" s="26" t="n"/>
      <c r="L11" s="18">
        <f>IFERROR('Raw TV Data'!H11/'Raw TV Data'!G11,0)</f>
        <v/>
      </c>
      <c r="M11" s="18">
        <f>IFERROR('Raw TV Data'!H12/'Raw TV Data'!G12,0)</f>
        <v/>
      </c>
      <c r="N11" s="18">
        <f>IFERROR('Raw TV Data'!H13/'Raw TV Data'!G13,0)</f>
        <v/>
      </c>
      <c r="O11" s="18">
        <f>IFERROR('Raw TV Data'!H14/'Raw TV Data'!G14,0)</f>
        <v/>
      </c>
      <c r="P11" s="26" t="n"/>
      <c r="Q11" s="18">
        <f>IFERROR('Raw TV Data'!H15/'Raw TV Data'!G15,0)</f>
        <v/>
      </c>
      <c r="R11" s="18">
        <f>IFERROR('Raw TV Data'!H16/'Raw TV Data'!G16,0)</f>
        <v/>
      </c>
      <c r="S11" s="18">
        <f>IFERROR('Raw TV Data'!H17/'Raw TV Data'!G17,0)</f>
        <v/>
      </c>
      <c r="T11" s="18">
        <f>IFERROR('Raw TV Data'!H18/'Raw TV Data'!G18,0)</f>
        <v/>
      </c>
      <c r="U11" s="26" t="n"/>
      <c r="V11" s="18">
        <f>IFERROR('Raw TV Data'!H19/'Raw TV Data'!G19,0)</f>
        <v/>
      </c>
      <c r="W11" s="18">
        <f>IFERROR('Raw TV Data'!H20/'Raw TV Data'!G20,0)</f>
        <v/>
      </c>
      <c r="X11" s="18">
        <f>IFERROR('Raw TV Data'!H21/'Raw TV Data'!G21,0)</f>
        <v/>
      </c>
      <c r="Y11" s="18">
        <f>IFERROR('Raw TV Data'!H22/'Raw TV Data'!G22,0)</f>
        <v/>
      </c>
      <c r="Z11" s="26" t="n"/>
    </row>
    <row r="12" ht="14" customHeight="1">
      <c r="A12" s="25" t="inlineStr">
        <is>
          <t>Stock Vol PCR</t>
        </is>
      </c>
      <c r="B12" s="16">
        <f>IFERROR('Raw TV Data'!L3/'Raw TV Data'!K3,0)</f>
        <v/>
      </c>
      <c r="C12" s="16">
        <f>IFERROR('Raw TV Data'!L4/'Raw TV Data'!K4,0)</f>
        <v/>
      </c>
      <c r="D12" s="16">
        <f>IFERROR('Raw TV Data'!L5/'Raw TV Data'!K5,0)</f>
        <v/>
      </c>
      <c r="E12" s="16">
        <f>IFERROR('Raw TV Data'!L6/'Raw TV Data'!K6,0)</f>
        <v/>
      </c>
      <c r="F12" s="27" t="n"/>
      <c r="G12" s="16">
        <f>IFERROR('Raw TV Data'!L7/'Raw TV Data'!K7,0)</f>
        <v/>
      </c>
      <c r="H12" s="16">
        <f>IFERROR('Raw TV Data'!L8/'Raw TV Data'!K8,0)</f>
        <v/>
      </c>
      <c r="I12" s="16">
        <f>IFERROR('Raw TV Data'!L9/'Raw TV Data'!K9,0)</f>
        <v/>
      </c>
      <c r="J12" s="16">
        <f>IFERROR('Raw TV Data'!L10/'Raw TV Data'!K10,0)</f>
        <v/>
      </c>
      <c r="K12" s="27" t="n"/>
      <c r="L12" s="16">
        <f>IFERROR('Raw TV Data'!L11/'Raw TV Data'!K11,0)</f>
        <v/>
      </c>
      <c r="M12" s="16">
        <f>IFERROR('Raw TV Data'!L12/'Raw TV Data'!K12,0)</f>
        <v/>
      </c>
      <c r="N12" s="16">
        <f>IFERROR('Raw TV Data'!L13/'Raw TV Data'!K13,0)</f>
        <v/>
      </c>
      <c r="O12" s="16">
        <f>IFERROR('Raw TV Data'!L14/'Raw TV Data'!K14,0)</f>
        <v/>
      </c>
      <c r="P12" s="27" t="n"/>
      <c r="Q12" s="16">
        <f>IFERROR('Raw TV Data'!L15/'Raw TV Data'!K15,0)</f>
        <v/>
      </c>
      <c r="R12" s="16">
        <f>IFERROR('Raw TV Data'!L16/'Raw TV Data'!K16,0)</f>
        <v/>
      </c>
      <c r="S12" s="16">
        <f>IFERROR('Raw TV Data'!L17/'Raw TV Data'!K17,0)</f>
        <v/>
      </c>
      <c r="T12" s="16">
        <f>IFERROR('Raw TV Data'!L18/'Raw TV Data'!K18,0)</f>
        <v/>
      </c>
      <c r="U12" s="27" t="n"/>
      <c r="V12" s="16">
        <f>IFERROR('Raw TV Data'!L19/'Raw TV Data'!K19,0)</f>
        <v/>
      </c>
      <c r="W12" s="16">
        <f>IFERROR('Raw TV Data'!L20/'Raw TV Data'!K20,0)</f>
        <v/>
      </c>
      <c r="X12" s="16">
        <f>IFERROR('Raw TV Data'!L21/'Raw TV Data'!K21,0)</f>
        <v/>
      </c>
      <c r="Y12" s="16">
        <f>IFERROR('Raw TV Data'!L22/'Raw TV Data'!K22,0)</f>
        <v/>
      </c>
      <c r="Z12" s="27" t="n"/>
    </row>
    <row r="13" ht="14" customHeight="1">
      <c r="A13" s="25" t="inlineStr">
        <is>
          <t>Combined Vol PCR</t>
        </is>
      </c>
      <c r="B13" s="18">
        <f>IFERROR(('Raw TV Data'!H3+'Raw TV Data'!L3)/('Raw TV Data'!G3+'Raw TV Data'!K3),0)</f>
        <v/>
      </c>
      <c r="C13" s="18">
        <f>IFERROR(('Raw TV Data'!H4+'Raw TV Data'!L4)/('Raw TV Data'!G4+'Raw TV Data'!K4),0)</f>
        <v/>
      </c>
      <c r="D13" s="18">
        <f>IFERROR(('Raw TV Data'!H5+'Raw TV Data'!L5)/('Raw TV Data'!G5+'Raw TV Data'!K5),0)</f>
        <v/>
      </c>
      <c r="E13" s="18">
        <f>IFERROR(('Raw TV Data'!H6+'Raw TV Data'!L6)/('Raw TV Data'!G6+'Raw TV Data'!K6),0)</f>
        <v/>
      </c>
      <c r="F13" s="26" t="n"/>
      <c r="G13" s="18">
        <f>IFERROR(('Raw TV Data'!H7+'Raw TV Data'!L7)/('Raw TV Data'!G7+'Raw TV Data'!K7),0)</f>
        <v/>
      </c>
      <c r="H13" s="18">
        <f>IFERROR(('Raw TV Data'!H8+'Raw TV Data'!L8)/('Raw TV Data'!G8+'Raw TV Data'!K8),0)</f>
        <v/>
      </c>
      <c r="I13" s="18">
        <f>IFERROR(('Raw TV Data'!H9+'Raw TV Data'!L9)/('Raw TV Data'!G9+'Raw TV Data'!K9),0)</f>
        <v/>
      </c>
      <c r="J13" s="18">
        <f>IFERROR(('Raw TV Data'!H10+'Raw TV Data'!L10)/('Raw TV Data'!G10+'Raw TV Data'!K10),0)</f>
        <v/>
      </c>
      <c r="K13" s="26" t="n"/>
      <c r="L13" s="18">
        <f>IFERROR(('Raw TV Data'!H11+'Raw TV Data'!L11)/('Raw TV Data'!G11+'Raw TV Data'!K11),0)</f>
        <v/>
      </c>
      <c r="M13" s="18">
        <f>IFERROR(('Raw TV Data'!H12+'Raw TV Data'!L12)/('Raw TV Data'!G12+'Raw TV Data'!K12),0)</f>
        <v/>
      </c>
      <c r="N13" s="18">
        <f>IFERROR(('Raw TV Data'!H13+'Raw TV Data'!L13)/('Raw TV Data'!G13+'Raw TV Data'!K13),0)</f>
        <v/>
      </c>
      <c r="O13" s="18">
        <f>IFERROR(('Raw TV Data'!H14+'Raw TV Data'!L14)/('Raw TV Data'!G14+'Raw TV Data'!K14),0)</f>
        <v/>
      </c>
      <c r="P13" s="26" t="n"/>
      <c r="Q13" s="18">
        <f>IFERROR(('Raw TV Data'!H15+'Raw TV Data'!L15)/('Raw TV Data'!G15+'Raw TV Data'!K15),0)</f>
        <v/>
      </c>
      <c r="R13" s="18">
        <f>IFERROR(('Raw TV Data'!H16+'Raw TV Data'!L16)/('Raw TV Data'!G16+'Raw TV Data'!K16),0)</f>
        <v/>
      </c>
      <c r="S13" s="18">
        <f>IFERROR(('Raw TV Data'!H17+'Raw TV Data'!L17)/('Raw TV Data'!G17+'Raw TV Data'!K17),0)</f>
        <v/>
      </c>
      <c r="T13" s="18">
        <f>IFERROR(('Raw TV Data'!H18+'Raw TV Data'!L18)/('Raw TV Data'!G18+'Raw TV Data'!K18),0)</f>
        <v/>
      </c>
      <c r="U13" s="26" t="n"/>
      <c r="V13" s="18">
        <f>IFERROR(('Raw TV Data'!H19+'Raw TV Data'!L19)/('Raw TV Data'!G19+'Raw TV Data'!K19),0)</f>
        <v/>
      </c>
      <c r="W13" s="18">
        <f>IFERROR(('Raw TV Data'!H20+'Raw TV Data'!L20)/('Raw TV Data'!G20+'Raw TV Data'!K20),0)</f>
        <v/>
      </c>
      <c r="X13" s="18">
        <f>IFERROR(('Raw TV Data'!H21+'Raw TV Data'!L21)/('Raw TV Data'!G21+'Raw TV Data'!K21),0)</f>
        <v/>
      </c>
      <c r="Y13" s="18">
        <f>IFERROR(('Raw TV Data'!H22+'Raw TV Data'!L22)/('Raw TV Data'!G22+'Raw TV Data'!K22),0)</f>
        <v/>
      </c>
      <c r="Z13" s="26" t="n"/>
    </row>
    <row r="14" ht="16" customHeight="1">
      <c r="A14" s="14" t="inlineStr">
        <is>
          <t>CHAIN-LEVEL AGGREGATE PCR  (all strikes, market-wide)</t>
        </is>
      </c>
    </row>
    <row r="15" ht="14" customHeight="1">
      <c r="A15" s="25" t="inlineStr">
        <is>
          <t>Aggregate OI PCR (Put OI / Call OI)</t>
        </is>
      </c>
      <c r="B15" s="34" t="n"/>
      <c r="C15" s="35" t="n"/>
      <c r="D15" s="35" t="n"/>
      <c r="E15" s="35" t="n"/>
      <c r="F15" s="26" t="n"/>
      <c r="G15" s="34" t="n"/>
      <c r="H15" s="35" t="n"/>
      <c r="I15" s="35" t="n"/>
      <c r="J15" s="35" t="n"/>
      <c r="K15" s="26" t="n"/>
      <c r="L15" s="34" t="n"/>
      <c r="M15" s="35" t="n"/>
      <c r="N15" s="35" t="n"/>
      <c r="O15" s="35" t="n"/>
      <c r="P15" s="26" t="n"/>
      <c r="Q15" s="34" t="n"/>
      <c r="R15" s="35" t="n"/>
      <c r="S15" s="35" t="n"/>
      <c r="T15" s="35" t="n"/>
      <c r="U15" s="26" t="n"/>
      <c r="V15" s="34" t="n">
        <v>1.4974</v>
      </c>
      <c r="W15" s="35" t="n"/>
      <c r="X15" s="35" t="n"/>
      <c r="Y15" s="35" t="n"/>
      <c r="Z15" s="26" t="n"/>
    </row>
    <row r="16" ht="14" customHeight="1">
      <c r="A16" s="25" t="inlineStr">
        <is>
          <t>Aggregate Volume PCR (Put Vol / Call Vol)</t>
        </is>
      </c>
      <c r="B16" s="34" t="n"/>
      <c r="C16" s="35" t="n"/>
      <c r="D16" s="35" t="n"/>
      <c r="E16" s="35" t="n"/>
      <c r="F16" s="27" t="n"/>
      <c r="G16" s="34" t="n"/>
      <c r="H16" s="35" t="n"/>
      <c r="I16" s="35" t="n"/>
      <c r="J16" s="35" t="n"/>
      <c r="K16" s="27" t="n"/>
      <c r="L16" s="34" t="n"/>
      <c r="M16" s="35" t="n"/>
      <c r="N16" s="35" t="n"/>
      <c r="O16" s="35" t="n"/>
      <c r="P16" s="27" t="n"/>
      <c r="Q16" s="34" t="n"/>
      <c r="R16" s="35" t="n"/>
      <c r="S16" s="35" t="n"/>
      <c r="T16" s="35" t="n"/>
      <c r="U16" s="27" t="n"/>
      <c r="V16" s="34" t="n">
        <v>0.9369</v>
      </c>
      <c r="W16" s="35" t="n"/>
      <c r="X16" s="35" t="n"/>
      <c r="Y16" s="35" t="n"/>
      <c r="Z16" s="27" t="n"/>
    </row>
  </sheetData>
  <mergeCells count="19">
    <mergeCell ref="B15:E15"/>
    <mergeCell ref="V16:Y16"/>
    <mergeCell ref="G16:J16"/>
    <mergeCell ref="Q2:T2"/>
    <mergeCell ref="A1:Z1"/>
    <mergeCell ref="Q16:T16"/>
    <mergeCell ref="B16:E16"/>
    <mergeCell ref="V2:Y2"/>
    <mergeCell ref="L2:O2"/>
    <mergeCell ref="G2:J2"/>
    <mergeCell ref="L16:O16"/>
    <mergeCell ref="B2:E2"/>
    <mergeCell ref="L15:O15"/>
    <mergeCell ref="A14:Z14"/>
    <mergeCell ref="A4:Z4"/>
    <mergeCell ref="V15:Y15"/>
    <mergeCell ref="G15:J15"/>
    <mergeCell ref="A10:Z10"/>
    <mergeCell ref="Q15:T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/ Trading Volume Efficiency Ratio</t>
        </is>
      </c>
    </row>
    <row r="2" ht="16" customHeight="1">
      <c r="A2" s="19" t="inlineStr">
        <is>
          <t>Metric</t>
        </is>
      </c>
      <c r="B2" s="19" t="inlineStr">
        <is>
          <t>Jun 30 2026</t>
        </is>
      </c>
      <c r="C2" s="20" t="n"/>
      <c r="D2" s="20" t="n"/>
      <c r="E2" s="20" t="n"/>
      <c r="F2" s="20" t="n"/>
      <c r="G2" s="19" t="inlineStr">
        <is>
          <t>Jul 01 2026</t>
        </is>
      </c>
      <c r="H2" s="20" t="n"/>
      <c r="I2" s="20" t="n"/>
      <c r="J2" s="20" t="n"/>
      <c r="K2" s="20" t="n"/>
      <c r="L2" s="19" t="inlineStr">
        <is>
          <t>Jul 02 2026</t>
        </is>
      </c>
      <c r="M2" s="20" t="n"/>
      <c r="N2" s="20" t="n"/>
      <c r="O2" s="20" t="n"/>
      <c r="P2" s="20" t="n"/>
      <c r="Q2" s="19" t="inlineStr">
        <is>
          <t>Jul 03 2026</t>
        </is>
      </c>
      <c r="R2" s="20" t="n"/>
      <c r="S2" s="20" t="n"/>
      <c r="T2" s="20" t="n"/>
      <c r="U2" s="20" t="n"/>
      <c r="V2" s="19" t="inlineStr">
        <is>
          <t>Jul 06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OI / VOLUME RATIO  (high = positions held with conviction, low = churn)</t>
        </is>
      </c>
    </row>
    <row r="5" ht="14" customHeight="1">
      <c r="A5" s="25" t="inlineStr">
        <is>
          <t>Fut Index OI/TV</t>
        </is>
      </c>
      <c r="B5" s="18">
        <f>IFERROR('Raw OI Data'!C3/'Raw TV Data'!C3,0)</f>
        <v/>
      </c>
      <c r="C5" s="18">
        <f>IFERROR('Raw OI Data'!C4/'Raw TV Data'!C4,0)</f>
        <v/>
      </c>
      <c r="D5" s="18">
        <f>IFERROR('Raw OI Data'!C5/'Raw TV Data'!C5,0)</f>
        <v/>
      </c>
      <c r="E5" s="18">
        <f>IFERROR('Raw OI Data'!C6/'Raw TV Data'!C6,0)</f>
        <v/>
      </c>
      <c r="F5" s="26" t="n"/>
      <c r="G5" s="18">
        <f>IFERROR('Raw OI Data'!C7/'Raw TV Data'!C7,0)</f>
        <v/>
      </c>
      <c r="H5" s="18">
        <f>IFERROR('Raw OI Data'!C8/'Raw TV Data'!C8,0)</f>
        <v/>
      </c>
      <c r="I5" s="18">
        <f>IFERROR('Raw OI Data'!C9/'Raw TV Data'!C9,0)</f>
        <v/>
      </c>
      <c r="J5" s="18">
        <f>IFERROR('Raw OI Data'!C10/'Raw TV Data'!C10,0)</f>
        <v/>
      </c>
      <c r="K5" s="26" t="n"/>
      <c r="L5" s="18">
        <f>IFERROR('Raw OI Data'!C11/'Raw TV Data'!C11,0)</f>
        <v/>
      </c>
      <c r="M5" s="18">
        <f>IFERROR('Raw OI Data'!C12/'Raw TV Data'!C12,0)</f>
        <v/>
      </c>
      <c r="N5" s="18">
        <f>IFERROR('Raw OI Data'!C13/'Raw TV Data'!C13,0)</f>
        <v/>
      </c>
      <c r="O5" s="18">
        <f>IFERROR('Raw OI Data'!C14/'Raw TV Data'!C14,0)</f>
        <v/>
      </c>
      <c r="P5" s="26" t="n"/>
      <c r="Q5" s="18">
        <f>IFERROR('Raw OI Data'!C15/'Raw TV Data'!C15,0)</f>
        <v/>
      </c>
      <c r="R5" s="18">
        <f>IFERROR('Raw OI Data'!C16/'Raw TV Data'!C16,0)</f>
        <v/>
      </c>
      <c r="S5" s="18">
        <f>IFERROR('Raw OI Data'!C17/'Raw TV Data'!C17,0)</f>
        <v/>
      </c>
      <c r="T5" s="18">
        <f>IFERROR('Raw OI Data'!C18/'Raw TV Data'!C18,0)</f>
        <v/>
      </c>
      <c r="U5" s="26" t="n"/>
      <c r="V5" s="18">
        <f>IFERROR('Raw OI Data'!C19/'Raw TV Data'!C19,0)</f>
        <v/>
      </c>
      <c r="W5" s="18">
        <f>IFERROR('Raw OI Data'!C20/'Raw TV Data'!C20,0)</f>
        <v/>
      </c>
      <c r="X5" s="18">
        <f>IFERROR('Raw OI Data'!C21/'Raw TV Data'!C21,0)</f>
        <v/>
      </c>
      <c r="Y5" s="18">
        <f>IFERROR('Raw OI Data'!C22/'Raw TV Data'!C22,0)</f>
        <v/>
      </c>
      <c r="Z5" s="26" t="n"/>
    </row>
    <row r="6" ht="14" customHeight="1">
      <c r="A6" s="25" t="inlineStr">
        <is>
          <t>Fut Stock OI/TV</t>
        </is>
      </c>
      <c r="B6" s="16">
        <f>IFERROR('Raw OI Data'!E3/'Raw TV Data'!E3,0)</f>
        <v/>
      </c>
      <c r="C6" s="16">
        <f>IFERROR('Raw OI Data'!E4/'Raw TV Data'!E4,0)</f>
        <v/>
      </c>
      <c r="D6" s="16">
        <f>IFERROR('Raw OI Data'!E5/'Raw TV Data'!E5,0)</f>
        <v/>
      </c>
      <c r="E6" s="16">
        <f>IFERROR('Raw OI Data'!E6/'Raw TV Data'!E6,0)</f>
        <v/>
      </c>
      <c r="F6" s="27" t="n"/>
      <c r="G6" s="16">
        <f>IFERROR('Raw OI Data'!E7/'Raw TV Data'!E7,0)</f>
        <v/>
      </c>
      <c r="H6" s="16">
        <f>IFERROR('Raw OI Data'!E8/'Raw TV Data'!E8,0)</f>
        <v/>
      </c>
      <c r="I6" s="16">
        <f>IFERROR('Raw OI Data'!E9/'Raw TV Data'!E9,0)</f>
        <v/>
      </c>
      <c r="J6" s="16">
        <f>IFERROR('Raw OI Data'!E10/'Raw TV Data'!E10,0)</f>
        <v/>
      </c>
      <c r="K6" s="27" t="n"/>
      <c r="L6" s="16">
        <f>IFERROR('Raw OI Data'!E11/'Raw TV Data'!E11,0)</f>
        <v/>
      </c>
      <c r="M6" s="16">
        <f>IFERROR('Raw OI Data'!E12/'Raw TV Data'!E12,0)</f>
        <v/>
      </c>
      <c r="N6" s="16">
        <f>IFERROR('Raw OI Data'!E13/'Raw TV Data'!E13,0)</f>
        <v/>
      </c>
      <c r="O6" s="16">
        <f>IFERROR('Raw OI Data'!E14/'Raw TV Data'!E14,0)</f>
        <v/>
      </c>
      <c r="P6" s="27" t="n"/>
      <c r="Q6" s="16">
        <f>IFERROR('Raw OI Data'!E15/'Raw TV Data'!E15,0)</f>
        <v/>
      </c>
      <c r="R6" s="16">
        <f>IFERROR('Raw OI Data'!E16/'Raw TV Data'!E16,0)</f>
        <v/>
      </c>
      <c r="S6" s="16">
        <f>IFERROR('Raw OI Data'!E17/'Raw TV Data'!E17,0)</f>
        <v/>
      </c>
      <c r="T6" s="16">
        <f>IFERROR('Raw OI Data'!E18/'Raw TV Data'!E18,0)</f>
        <v/>
      </c>
      <c r="U6" s="27" t="n"/>
      <c r="V6" s="16">
        <f>IFERROR('Raw OI Data'!E19/'Raw TV Data'!E19,0)</f>
        <v/>
      </c>
      <c r="W6" s="16">
        <f>IFERROR('Raw OI Data'!E20/'Raw TV Data'!E20,0)</f>
        <v/>
      </c>
      <c r="X6" s="16">
        <f>IFERROR('Raw OI Data'!E21/'Raw TV Data'!E21,0)</f>
        <v/>
      </c>
      <c r="Y6" s="16">
        <f>IFERROR('Raw OI Data'!E22/'Raw TV Data'!E22,0)</f>
        <v/>
      </c>
      <c r="Z6" s="27" t="n"/>
    </row>
    <row r="7" ht="14" customHeight="1">
      <c r="A7" s="25" t="inlineStr">
        <is>
          <t>Idx Call OI/TV</t>
        </is>
      </c>
      <c r="B7" s="18">
        <f>IFERROR('Raw OI Data'!G3/'Raw TV Data'!G3,0)</f>
        <v/>
      </c>
      <c r="C7" s="18">
        <f>IFERROR('Raw OI Data'!G4/'Raw TV Data'!G4,0)</f>
        <v/>
      </c>
      <c r="D7" s="18">
        <f>IFERROR('Raw OI Data'!G5/'Raw TV Data'!G5,0)</f>
        <v/>
      </c>
      <c r="E7" s="18">
        <f>IFERROR('Raw OI Data'!G6/'Raw TV Data'!G6,0)</f>
        <v/>
      </c>
      <c r="F7" s="26" t="n"/>
      <c r="G7" s="18">
        <f>IFERROR('Raw OI Data'!G7/'Raw TV Data'!G7,0)</f>
        <v/>
      </c>
      <c r="H7" s="18">
        <f>IFERROR('Raw OI Data'!G8/'Raw TV Data'!G8,0)</f>
        <v/>
      </c>
      <c r="I7" s="18">
        <f>IFERROR('Raw OI Data'!G9/'Raw TV Data'!G9,0)</f>
        <v/>
      </c>
      <c r="J7" s="18">
        <f>IFERROR('Raw OI Data'!G10/'Raw TV Data'!G10,0)</f>
        <v/>
      </c>
      <c r="K7" s="26" t="n"/>
      <c r="L7" s="18">
        <f>IFERROR('Raw OI Data'!G11/'Raw TV Data'!G11,0)</f>
        <v/>
      </c>
      <c r="M7" s="18">
        <f>IFERROR('Raw OI Data'!G12/'Raw TV Data'!G12,0)</f>
        <v/>
      </c>
      <c r="N7" s="18">
        <f>IFERROR('Raw OI Data'!G13/'Raw TV Data'!G13,0)</f>
        <v/>
      </c>
      <c r="O7" s="18">
        <f>IFERROR('Raw OI Data'!G14/'Raw TV Data'!G14,0)</f>
        <v/>
      </c>
      <c r="P7" s="26" t="n"/>
      <c r="Q7" s="18">
        <f>IFERROR('Raw OI Data'!G15/'Raw TV Data'!G15,0)</f>
        <v/>
      </c>
      <c r="R7" s="18">
        <f>IFERROR('Raw OI Data'!G16/'Raw TV Data'!G16,0)</f>
        <v/>
      </c>
      <c r="S7" s="18">
        <f>IFERROR('Raw OI Data'!G17/'Raw TV Data'!G17,0)</f>
        <v/>
      </c>
      <c r="T7" s="18">
        <f>IFERROR('Raw OI Data'!G18/'Raw TV Data'!G18,0)</f>
        <v/>
      </c>
      <c r="U7" s="26" t="n"/>
      <c r="V7" s="18">
        <f>IFERROR('Raw OI Data'!G19/'Raw TV Data'!G19,0)</f>
        <v/>
      </c>
      <c r="W7" s="18">
        <f>IFERROR('Raw OI Data'!G20/'Raw TV Data'!G20,0)</f>
        <v/>
      </c>
      <c r="X7" s="18">
        <f>IFERROR('Raw OI Data'!G21/'Raw TV Data'!G21,0)</f>
        <v/>
      </c>
      <c r="Y7" s="18">
        <f>IFERROR('Raw OI Data'!G22/'Raw TV Data'!G22,0)</f>
        <v/>
      </c>
      <c r="Z7" s="26" t="n"/>
    </row>
    <row r="8" ht="14" customHeight="1">
      <c r="A8" s="25" t="inlineStr">
        <is>
          <t>Idx Put OI/TV</t>
        </is>
      </c>
      <c r="B8" s="16">
        <f>IFERROR('Raw OI Data'!H3/'Raw TV Data'!H3,0)</f>
        <v/>
      </c>
      <c r="C8" s="16">
        <f>IFERROR('Raw OI Data'!H4/'Raw TV Data'!H4,0)</f>
        <v/>
      </c>
      <c r="D8" s="16">
        <f>IFERROR('Raw OI Data'!H5/'Raw TV Data'!H5,0)</f>
        <v/>
      </c>
      <c r="E8" s="16">
        <f>IFERROR('Raw OI Data'!H6/'Raw TV Data'!H6,0)</f>
        <v/>
      </c>
      <c r="F8" s="27" t="n"/>
      <c r="G8" s="16">
        <f>IFERROR('Raw OI Data'!H7/'Raw TV Data'!H7,0)</f>
        <v/>
      </c>
      <c r="H8" s="16">
        <f>IFERROR('Raw OI Data'!H8/'Raw TV Data'!H8,0)</f>
        <v/>
      </c>
      <c r="I8" s="16">
        <f>IFERROR('Raw OI Data'!H9/'Raw TV Data'!H9,0)</f>
        <v/>
      </c>
      <c r="J8" s="16">
        <f>IFERROR('Raw OI Data'!H10/'Raw TV Data'!H10,0)</f>
        <v/>
      </c>
      <c r="K8" s="27" t="n"/>
      <c r="L8" s="16">
        <f>IFERROR('Raw OI Data'!H11/'Raw TV Data'!H11,0)</f>
        <v/>
      </c>
      <c r="M8" s="16">
        <f>IFERROR('Raw OI Data'!H12/'Raw TV Data'!H12,0)</f>
        <v/>
      </c>
      <c r="N8" s="16">
        <f>IFERROR('Raw OI Data'!H13/'Raw TV Data'!H13,0)</f>
        <v/>
      </c>
      <c r="O8" s="16">
        <f>IFERROR('Raw OI Data'!H14/'Raw TV Data'!H14,0)</f>
        <v/>
      </c>
      <c r="P8" s="27" t="n"/>
      <c r="Q8" s="16">
        <f>IFERROR('Raw OI Data'!H15/'Raw TV Data'!H15,0)</f>
        <v/>
      </c>
      <c r="R8" s="16">
        <f>IFERROR('Raw OI Data'!H16/'Raw TV Data'!H16,0)</f>
        <v/>
      </c>
      <c r="S8" s="16">
        <f>IFERROR('Raw OI Data'!H17/'Raw TV Data'!H17,0)</f>
        <v/>
      </c>
      <c r="T8" s="16">
        <f>IFERROR('Raw OI Data'!H18/'Raw TV Data'!H18,0)</f>
        <v/>
      </c>
      <c r="U8" s="27" t="n"/>
      <c r="V8" s="16">
        <f>IFERROR('Raw OI Data'!H19/'Raw TV Data'!H19,0)</f>
        <v/>
      </c>
      <c r="W8" s="16">
        <f>IFERROR('Raw OI Data'!H20/'Raw TV Data'!H20,0)</f>
        <v/>
      </c>
      <c r="X8" s="16">
        <f>IFERROR('Raw OI Data'!H21/'Raw TV Data'!H21,0)</f>
        <v/>
      </c>
      <c r="Y8" s="16">
        <f>IFERROR('Raw OI Data'!H22/'Raw TV Data'!H22,0)</f>
        <v/>
      </c>
      <c r="Z8" s="27" t="n"/>
    </row>
    <row r="9" ht="14" customHeight="1">
      <c r="A9" s="25" t="inlineStr">
        <is>
          <t>Stk Call OI/TV</t>
        </is>
      </c>
      <c r="B9" s="18">
        <f>IFERROR('Raw OI Data'!K3/'Raw TV Data'!K3,0)</f>
        <v/>
      </c>
      <c r="C9" s="18">
        <f>IFERROR('Raw OI Data'!K4/'Raw TV Data'!K4,0)</f>
        <v/>
      </c>
      <c r="D9" s="18">
        <f>IFERROR('Raw OI Data'!K5/'Raw TV Data'!K5,0)</f>
        <v/>
      </c>
      <c r="E9" s="18">
        <f>IFERROR('Raw OI Data'!K6/'Raw TV Data'!K6,0)</f>
        <v/>
      </c>
      <c r="F9" s="26" t="n"/>
      <c r="G9" s="18">
        <f>IFERROR('Raw OI Data'!K7/'Raw TV Data'!K7,0)</f>
        <v/>
      </c>
      <c r="H9" s="18">
        <f>IFERROR('Raw OI Data'!K8/'Raw TV Data'!K8,0)</f>
        <v/>
      </c>
      <c r="I9" s="18">
        <f>IFERROR('Raw OI Data'!K9/'Raw TV Data'!K9,0)</f>
        <v/>
      </c>
      <c r="J9" s="18">
        <f>IFERROR('Raw OI Data'!K10/'Raw TV Data'!K10,0)</f>
        <v/>
      </c>
      <c r="K9" s="26" t="n"/>
      <c r="L9" s="18">
        <f>IFERROR('Raw OI Data'!K11/'Raw TV Data'!K11,0)</f>
        <v/>
      </c>
      <c r="M9" s="18">
        <f>IFERROR('Raw OI Data'!K12/'Raw TV Data'!K12,0)</f>
        <v/>
      </c>
      <c r="N9" s="18">
        <f>IFERROR('Raw OI Data'!K13/'Raw TV Data'!K13,0)</f>
        <v/>
      </c>
      <c r="O9" s="18">
        <f>IFERROR('Raw OI Data'!K14/'Raw TV Data'!K14,0)</f>
        <v/>
      </c>
      <c r="P9" s="26" t="n"/>
      <c r="Q9" s="18">
        <f>IFERROR('Raw OI Data'!K15/'Raw TV Data'!K15,0)</f>
        <v/>
      </c>
      <c r="R9" s="18">
        <f>IFERROR('Raw OI Data'!K16/'Raw TV Data'!K16,0)</f>
        <v/>
      </c>
      <c r="S9" s="18">
        <f>IFERROR('Raw OI Data'!K17/'Raw TV Data'!K17,0)</f>
        <v/>
      </c>
      <c r="T9" s="18">
        <f>IFERROR('Raw OI Data'!K18/'Raw TV Data'!K18,0)</f>
        <v/>
      </c>
      <c r="U9" s="26" t="n"/>
      <c r="V9" s="18">
        <f>IFERROR('Raw OI Data'!K19/'Raw TV Data'!K19,0)</f>
        <v/>
      </c>
      <c r="W9" s="18">
        <f>IFERROR('Raw OI Data'!K20/'Raw TV Data'!K20,0)</f>
        <v/>
      </c>
      <c r="X9" s="18">
        <f>IFERROR('Raw OI Data'!K21/'Raw TV Data'!K21,0)</f>
        <v/>
      </c>
      <c r="Y9" s="18">
        <f>IFERROR('Raw OI Data'!K22/'Raw TV Data'!K22,0)</f>
        <v/>
      </c>
      <c r="Z9" s="26" t="n"/>
    </row>
    <row r="10" ht="14" customHeight="1">
      <c r="A10" s="25" t="inlineStr">
        <is>
          <t>Stk Put OI/TV</t>
        </is>
      </c>
      <c r="B10" s="16">
        <f>IFERROR('Raw OI Data'!L3/'Raw TV Data'!L3,0)</f>
        <v/>
      </c>
      <c r="C10" s="16">
        <f>IFERROR('Raw OI Data'!L4/'Raw TV Data'!L4,0)</f>
        <v/>
      </c>
      <c r="D10" s="16">
        <f>IFERROR('Raw OI Data'!L5/'Raw TV Data'!L5,0)</f>
        <v/>
      </c>
      <c r="E10" s="16">
        <f>IFERROR('Raw OI Data'!L6/'Raw TV Data'!L6,0)</f>
        <v/>
      </c>
      <c r="F10" s="27" t="n"/>
      <c r="G10" s="16">
        <f>IFERROR('Raw OI Data'!L7/'Raw TV Data'!L7,0)</f>
        <v/>
      </c>
      <c r="H10" s="16">
        <f>IFERROR('Raw OI Data'!L8/'Raw TV Data'!L8,0)</f>
        <v/>
      </c>
      <c r="I10" s="16">
        <f>IFERROR('Raw OI Data'!L9/'Raw TV Data'!L9,0)</f>
        <v/>
      </c>
      <c r="J10" s="16">
        <f>IFERROR('Raw OI Data'!L10/'Raw TV Data'!L10,0)</f>
        <v/>
      </c>
      <c r="K10" s="27" t="n"/>
      <c r="L10" s="16">
        <f>IFERROR('Raw OI Data'!L11/'Raw TV Data'!L11,0)</f>
        <v/>
      </c>
      <c r="M10" s="16">
        <f>IFERROR('Raw OI Data'!L12/'Raw TV Data'!L12,0)</f>
        <v/>
      </c>
      <c r="N10" s="16">
        <f>IFERROR('Raw OI Data'!L13/'Raw TV Data'!L13,0)</f>
        <v/>
      </c>
      <c r="O10" s="16">
        <f>IFERROR('Raw OI Data'!L14/'Raw TV Data'!L14,0)</f>
        <v/>
      </c>
      <c r="P10" s="27" t="n"/>
      <c r="Q10" s="16">
        <f>IFERROR('Raw OI Data'!L15/'Raw TV Data'!L15,0)</f>
        <v/>
      </c>
      <c r="R10" s="16">
        <f>IFERROR('Raw OI Data'!L16/'Raw TV Data'!L16,0)</f>
        <v/>
      </c>
      <c r="S10" s="16">
        <f>IFERROR('Raw OI Data'!L17/'Raw TV Data'!L17,0)</f>
        <v/>
      </c>
      <c r="T10" s="16">
        <f>IFERROR('Raw OI Data'!L18/'Raw TV Data'!L18,0)</f>
        <v/>
      </c>
      <c r="U10" s="27" t="n"/>
      <c r="V10" s="16">
        <f>IFERROR('Raw OI Data'!L19/'Raw TV Data'!L19,0)</f>
        <v/>
      </c>
      <c r="W10" s="16">
        <f>IFERROR('Raw OI Data'!L20/'Raw TV Data'!L20,0)</f>
        <v/>
      </c>
      <c r="X10" s="16">
        <f>IFERROR('Raw OI Data'!L21/'Raw TV Data'!L21,0)</f>
        <v/>
      </c>
      <c r="Y10" s="16">
        <f>IFERROR('Raw OI Data'!L22/'Raw TV Data'!L22,0)</f>
        <v/>
      </c>
      <c r="Z10" s="27" t="n"/>
    </row>
    <row r="11" ht="14" customHeight="1">
      <c r="A11" s="25" t="inlineStr">
        <is>
          <t>Total OI/TV</t>
        </is>
      </c>
      <c r="B11" s="18">
        <f>IFERROR('Raw OI Data'!O3/'Raw TV Data'!O3,0)</f>
        <v/>
      </c>
      <c r="C11" s="18">
        <f>IFERROR('Raw OI Data'!O4/'Raw TV Data'!O4,0)</f>
        <v/>
      </c>
      <c r="D11" s="18">
        <f>IFERROR('Raw OI Data'!O5/'Raw TV Data'!O5,0)</f>
        <v/>
      </c>
      <c r="E11" s="18">
        <f>IFERROR('Raw OI Data'!O6/'Raw TV Data'!O6,0)</f>
        <v/>
      </c>
      <c r="F11" s="26" t="n"/>
      <c r="G11" s="18">
        <f>IFERROR('Raw OI Data'!O7/'Raw TV Data'!O7,0)</f>
        <v/>
      </c>
      <c r="H11" s="18">
        <f>IFERROR('Raw OI Data'!O8/'Raw TV Data'!O8,0)</f>
        <v/>
      </c>
      <c r="I11" s="18">
        <f>IFERROR('Raw OI Data'!O9/'Raw TV Data'!O9,0)</f>
        <v/>
      </c>
      <c r="J11" s="18">
        <f>IFERROR('Raw OI Data'!O10/'Raw TV Data'!O10,0)</f>
        <v/>
      </c>
      <c r="K11" s="26" t="n"/>
      <c r="L11" s="18">
        <f>IFERROR('Raw OI Data'!O11/'Raw TV Data'!O11,0)</f>
        <v/>
      </c>
      <c r="M11" s="18">
        <f>IFERROR('Raw OI Data'!O12/'Raw TV Data'!O12,0)</f>
        <v/>
      </c>
      <c r="N11" s="18">
        <f>IFERROR('Raw OI Data'!O13/'Raw TV Data'!O13,0)</f>
        <v/>
      </c>
      <c r="O11" s="18">
        <f>IFERROR('Raw OI Data'!O14/'Raw TV Data'!O14,0)</f>
        <v/>
      </c>
      <c r="P11" s="26" t="n"/>
      <c r="Q11" s="18">
        <f>IFERROR('Raw OI Data'!O15/'Raw TV Data'!O15,0)</f>
        <v/>
      </c>
      <c r="R11" s="18">
        <f>IFERROR('Raw OI Data'!O16/'Raw TV Data'!O16,0)</f>
        <v/>
      </c>
      <c r="S11" s="18">
        <f>IFERROR('Raw OI Data'!O17/'Raw TV Data'!O17,0)</f>
        <v/>
      </c>
      <c r="T11" s="18">
        <f>IFERROR('Raw OI Data'!O18/'Raw TV Data'!O18,0)</f>
        <v/>
      </c>
      <c r="U11" s="26" t="n"/>
      <c r="V11" s="18">
        <f>IFERROR('Raw OI Data'!O19/'Raw TV Data'!O19,0)</f>
        <v/>
      </c>
      <c r="W11" s="18">
        <f>IFERROR('Raw OI Data'!O20/'Raw TV Data'!O20,0)</f>
        <v/>
      </c>
      <c r="X11" s="18">
        <f>IFERROR('Raw OI Data'!O21/'Raw TV Data'!O21,0)</f>
        <v/>
      </c>
      <c r="Y11" s="18">
        <f>IFERROR('Raw OI Data'!O22/'Raw TV Data'!O22,0)</f>
        <v/>
      </c>
      <c r="Z11" s="26" t="n"/>
    </row>
    <row r="12" ht="16" customHeight="1">
      <c r="A12" s="14" t="inlineStr">
        <is>
          <t>NET CONVICTION  (OI direction vs Volume direction — aligned = strong signal)</t>
        </is>
      </c>
    </row>
    <row r="13" ht="14" customHeight="1">
      <c r="A13" s="25" t="inlineStr">
        <is>
          <t>Net Fut Idx OI</t>
        </is>
      </c>
      <c r="B13" s="28">
        <f>'Raw OI Data'!C3-'Raw OI Data'!D3</f>
        <v/>
      </c>
      <c r="C13" s="28">
        <f>'Raw OI Data'!C4-'Raw OI Data'!D4</f>
        <v/>
      </c>
      <c r="D13" s="28">
        <f>'Raw OI Data'!C5-'Raw OI Data'!D5</f>
        <v/>
      </c>
      <c r="E13" s="28">
        <f>'Raw OI Data'!C6-'Raw OI Data'!D6</f>
        <v/>
      </c>
      <c r="F13" s="26" t="n"/>
      <c r="G13" s="28">
        <f>'Raw OI Data'!C7-'Raw OI Data'!D7</f>
        <v/>
      </c>
      <c r="H13" s="28">
        <f>'Raw OI Data'!C8-'Raw OI Data'!D8</f>
        <v/>
      </c>
      <c r="I13" s="28">
        <f>'Raw OI Data'!C9-'Raw OI Data'!D9</f>
        <v/>
      </c>
      <c r="J13" s="28">
        <f>'Raw OI Data'!C10-'Raw OI Data'!D10</f>
        <v/>
      </c>
      <c r="K13" s="26" t="n"/>
      <c r="L13" s="28">
        <f>'Raw OI Data'!C11-'Raw OI Data'!D11</f>
        <v/>
      </c>
      <c r="M13" s="28">
        <f>'Raw OI Data'!C12-'Raw OI Data'!D12</f>
        <v/>
      </c>
      <c r="N13" s="28">
        <f>'Raw OI Data'!C13-'Raw OI Data'!D13</f>
        <v/>
      </c>
      <c r="O13" s="28">
        <f>'Raw OI Data'!C14-'Raw OI Data'!D14</f>
        <v/>
      </c>
      <c r="P13" s="26" t="n"/>
      <c r="Q13" s="28">
        <f>'Raw OI Data'!C15-'Raw OI Data'!D15</f>
        <v/>
      </c>
      <c r="R13" s="28">
        <f>'Raw OI Data'!C16-'Raw OI Data'!D16</f>
        <v/>
      </c>
      <c r="S13" s="28">
        <f>'Raw OI Data'!C17-'Raw OI Data'!D17</f>
        <v/>
      </c>
      <c r="T13" s="28">
        <f>'Raw OI Data'!C18-'Raw OI Data'!D18</f>
        <v/>
      </c>
      <c r="U13" s="26" t="n"/>
      <c r="V13" s="28">
        <f>'Raw OI Data'!C19-'Raw OI Data'!D19</f>
        <v/>
      </c>
      <c r="W13" s="28">
        <f>'Raw OI Data'!C20-'Raw OI Data'!D20</f>
        <v/>
      </c>
      <c r="X13" s="28">
        <f>'Raw OI Data'!C21-'Raw OI Data'!D21</f>
        <v/>
      </c>
      <c r="Y13" s="28">
        <f>'Raw OI Data'!C22-'Raw OI Data'!D22</f>
        <v/>
      </c>
      <c r="Z13" s="26" t="n"/>
    </row>
    <row r="14" ht="14" customHeight="1">
      <c r="A14" s="25" t="inlineStr">
        <is>
          <t>Net Fut Idx Vol</t>
        </is>
      </c>
      <c r="B14" s="32">
        <f>'Raw TV Data'!C3-'Raw TV Data'!D3</f>
        <v/>
      </c>
      <c r="C14" s="32">
        <f>'Raw TV Data'!C4-'Raw TV Data'!D4</f>
        <v/>
      </c>
      <c r="D14" s="32">
        <f>'Raw TV Data'!C5-'Raw TV Data'!D5</f>
        <v/>
      </c>
      <c r="E14" s="32">
        <f>'Raw TV Data'!C6-'Raw TV Data'!D6</f>
        <v/>
      </c>
      <c r="F14" s="27" t="n"/>
      <c r="G14" s="32">
        <f>'Raw TV Data'!C7-'Raw TV Data'!D7</f>
        <v/>
      </c>
      <c r="H14" s="32">
        <f>'Raw TV Data'!C8-'Raw TV Data'!D8</f>
        <v/>
      </c>
      <c r="I14" s="32">
        <f>'Raw TV Data'!C9-'Raw TV Data'!D9</f>
        <v/>
      </c>
      <c r="J14" s="32">
        <f>'Raw TV Data'!C10-'Raw TV Data'!D10</f>
        <v/>
      </c>
      <c r="K14" s="27" t="n"/>
      <c r="L14" s="32">
        <f>'Raw TV Data'!C11-'Raw TV Data'!D11</f>
        <v/>
      </c>
      <c r="M14" s="32">
        <f>'Raw TV Data'!C12-'Raw TV Data'!D12</f>
        <v/>
      </c>
      <c r="N14" s="32">
        <f>'Raw TV Data'!C13-'Raw TV Data'!D13</f>
        <v/>
      </c>
      <c r="O14" s="32">
        <f>'Raw TV Data'!C14-'Raw TV Data'!D14</f>
        <v/>
      </c>
      <c r="P14" s="27" t="n"/>
      <c r="Q14" s="32">
        <f>'Raw TV Data'!C15-'Raw TV Data'!D15</f>
        <v/>
      </c>
      <c r="R14" s="32">
        <f>'Raw TV Data'!C16-'Raw TV Data'!D16</f>
        <v/>
      </c>
      <c r="S14" s="32">
        <f>'Raw TV Data'!C17-'Raw TV Data'!D17</f>
        <v/>
      </c>
      <c r="T14" s="32">
        <f>'Raw TV Data'!C18-'Raw TV Data'!D18</f>
        <v/>
      </c>
      <c r="U14" s="27" t="n"/>
      <c r="V14" s="32">
        <f>'Raw TV Data'!C19-'Raw TV Data'!D19</f>
        <v/>
      </c>
      <c r="W14" s="32">
        <f>'Raw TV Data'!C20-'Raw TV Data'!D20</f>
        <v/>
      </c>
      <c r="X14" s="32">
        <f>'Raw TV Data'!C21-'Raw TV Data'!D21</f>
        <v/>
      </c>
      <c r="Y14" s="32">
        <f>'Raw TV Data'!C22-'Raw TV Data'!D22</f>
        <v/>
      </c>
      <c r="Z14" s="27" t="n"/>
    </row>
    <row r="15" ht="14" customHeight="1">
      <c r="A15" s="25" t="inlineStr">
        <is>
          <t>Net Idx Call OI</t>
        </is>
      </c>
      <c r="B15" s="28">
        <f>'Raw OI Data'!G3-'Raw OI Data'!I3</f>
        <v/>
      </c>
      <c r="C15" s="28">
        <f>'Raw OI Data'!G4-'Raw OI Data'!I4</f>
        <v/>
      </c>
      <c r="D15" s="28">
        <f>'Raw OI Data'!G5-'Raw OI Data'!I5</f>
        <v/>
      </c>
      <c r="E15" s="28">
        <f>'Raw OI Data'!G6-'Raw OI Data'!I6</f>
        <v/>
      </c>
      <c r="F15" s="26" t="n"/>
      <c r="G15" s="28">
        <f>'Raw OI Data'!G7-'Raw OI Data'!I7</f>
        <v/>
      </c>
      <c r="H15" s="28">
        <f>'Raw OI Data'!G8-'Raw OI Data'!I8</f>
        <v/>
      </c>
      <c r="I15" s="28">
        <f>'Raw OI Data'!G9-'Raw OI Data'!I9</f>
        <v/>
      </c>
      <c r="J15" s="28">
        <f>'Raw OI Data'!G10-'Raw OI Data'!I10</f>
        <v/>
      </c>
      <c r="K15" s="26" t="n"/>
      <c r="L15" s="28">
        <f>'Raw OI Data'!G11-'Raw OI Data'!I11</f>
        <v/>
      </c>
      <c r="M15" s="28">
        <f>'Raw OI Data'!G12-'Raw OI Data'!I12</f>
        <v/>
      </c>
      <c r="N15" s="28">
        <f>'Raw OI Data'!G13-'Raw OI Data'!I13</f>
        <v/>
      </c>
      <c r="O15" s="28">
        <f>'Raw OI Data'!G14-'Raw OI Data'!I14</f>
        <v/>
      </c>
      <c r="P15" s="26" t="n"/>
      <c r="Q15" s="28">
        <f>'Raw OI Data'!G15-'Raw OI Data'!I15</f>
        <v/>
      </c>
      <c r="R15" s="28">
        <f>'Raw OI Data'!G16-'Raw OI Data'!I16</f>
        <v/>
      </c>
      <c r="S15" s="28">
        <f>'Raw OI Data'!G17-'Raw OI Data'!I17</f>
        <v/>
      </c>
      <c r="T15" s="28">
        <f>'Raw OI Data'!G18-'Raw OI Data'!I18</f>
        <v/>
      </c>
      <c r="U15" s="26" t="n"/>
      <c r="V15" s="28">
        <f>'Raw OI Data'!G19-'Raw OI Data'!I19</f>
        <v/>
      </c>
      <c r="W15" s="28">
        <f>'Raw OI Data'!G20-'Raw OI Data'!I20</f>
        <v/>
      </c>
      <c r="X15" s="28">
        <f>'Raw OI Data'!G21-'Raw OI Data'!I21</f>
        <v/>
      </c>
      <c r="Y15" s="28">
        <f>'Raw OI Data'!G22-'Raw OI Data'!I22</f>
        <v/>
      </c>
      <c r="Z15" s="26" t="n"/>
    </row>
    <row r="16" ht="14" customHeight="1">
      <c r="A16" s="25" t="inlineStr">
        <is>
          <t>Net Idx Call Vol</t>
        </is>
      </c>
      <c r="B16" s="32">
        <f>'Raw TV Data'!G3-'Raw TV Data'!I3</f>
        <v/>
      </c>
      <c r="C16" s="32">
        <f>'Raw TV Data'!G4-'Raw TV Data'!I4</f>
        <v/>
      </c>
      <c r="D16" s="32">
        <f>'Raw TV Data'!G5-'Raw TV Data'!I5</f>
        <v/>
      </c>
      <c r="E16" s="32">
        <f>'Raw TV Data'!G6-'Raw TV Data'!I6</f>
        <v/>
      </c>
      <c r="F16" s="27" t="n"/>
      <c r="G16" s="32">
        <f>'Raw TV Data'!G7-'Raw TV Data'!I7</f>
        <v/>
      </c>
      <c r="H16" s="32">
        <f>'Raw TV Data'!G8-'Raw TV Data'!I8</f>
        <v/>
      </c>
      <c r="I16" s="32">
        <f>'Raw TV Data'!G9-'Raw TV Data'!I9</f>
        <v/>
      </c>
      <c r="J16" s="32">
        <f>'Raw TV Data'!G10-'Raw TV Data'!I10</f>
        <v/>
      </c>
      <c r="K16" s="27" t="n"/>
      <c r="L16" s="32">
        <f>'Raw TV Data'!G11-'Raw TV Data'!I11</f>
        <v/>
      </c>
      <c r="M16" s="32">
        <f>'Raw TV Data'!G12-'Raw TV Data'!I12</f>
        <v/>
      </c>
      <c r="N16" s="32">
        <f>'Raw TV Data'!G13-'Raw TV Data'!I13</f>
        <v/>
      </c>
      <c r="O16" s="32">
        <f>'Raw TV Data'!G14-'Raw TV Data'!I14</f>
        <v/>
      </c>
      <c r="P16" s="27" t="n"/>
      <c r="Q16" s="32">
        <f>'Raw TV Data'!G15-'Raw TV Data'!I15</f>
        <v/>
      </c>
      <c r="R16" s="32">
        <f>'Raw TV Data'!G16-'Raw TV Data'!I16</f>
        <v/>
      </c>
      <c r="S16" s="32">
        <f>'Raw TV Data'!G17-'Raw TV Data'!I17</f>
        <v/>
      </c>
      <c r="T16" s="32">
        <f>'Raw TV Data'!G18-'Raw TV Data'!I18</f>
        <v/>
      </c>
      <c r="U16" s="27" t="n"/>
      <c r="V16" s="32">
        <f>'Raw TV Data'!G19-'Raw TV Data'!I19</f>
        <v/>
      </c>
      <c r="W16" s="32">
        <f>'Raw TV Data'!G20-'Raw TV Data'!I20</f>
        <v/>
      </c>
      <c r="X16" s="32">
        <f>'Raw TV Data'!G21-'Raw TV Data'!I21</f>
        <v/>
      </c>
      <c r="Y16" s="32">
        <f>'Raw TV Data'!G22-'Raw TV Data'!I22</f>
        <v/>
      </c>
      <c r="Z16" s="27" t="n"/>
    </row>
    <row r="17" ht="14" customHeight="1">
      <c r="A17" s="25" t="inlineStr">
        <is>
          <t>Net Idx Put OI</t>
        </is>
      </c>
      <c r="B17" s="28">
        <f>'Raw OI Data'!H3-'Raw OI Data'!J3</f>
        <v/>
      </c>
      <c r="C17" s="28">
        <f>'Raw OI Data'!H4-'Raw OI Data'!J4</f>
        <v/>
      </c>
      <c r="D17" s="28">
        <f>'Raw OI Data'!H5-'Raw OI Data'!J5</f>
        <v/>
      </c>
      <c r="E17" s="28">
        <f>'Raw OI Data'!H6-'Raw OI Data'!J6</f>
        <v/>
      </c>
      <c r="F17" s="26" t="n"/>
      <c r="G17" s="28">
        <f>'Raw OI Data'!H7-'Raw OI Data'!J7</f>
        <v/>
      </c>
      <c r="H17" s="28">
        <f>'Raw OI Data'!H8-'Raw OI Data'!J8</f>
        <v/>
      </c>
      <c r="I17" s="28">
        <f>'Raw OI Data'!H9-'Raw OI Data'!J9</f>
        <v/>
      </c>
      <c r="J17" s="28">
        <f>'Raw OI Data'!H10-'Raw OI Data'!J10</f>
        <v/>
      </c>
      <c r="K17" s="26" t="n"/>
      <c r="L17" s="28">
        <f>'Raw OI Data'!H11-'Raw OI Data'!J11</f>
        <v/>
      </c>
      <c r="M17" s="28">
        <f>'Raw OI Data'!H12-'Raw OI Data'!J12</f>
        <v/>
      </c>
      <c r="N17" s="28">
        <f>'Raw OI Data'!H13-'Raw OI Data'!J13</f>
        <v/>
      </c>
      <c r="O17" s="28">
        <f>'Raw OI Data'!H14-'Raw OI Data'!J14</f>
        <v/>
      </c>
      <c r="P17" s="26" t="n"/>
      <c r="Q17" s="28">
        <f>'Raw OI Data'!H15-'Raw OI Data'!J15</f>
        <v/>
      </c>
      <c r="R17" s="28">
        <f>'Raw OI Data'!H16-'Raw OI Data'!J16</f>
        <v/>
      </c>
      <c r="S17" s="28">
        <f>'Raw OI Data'!H17-'Raw OI Data'!J17</f>
        <v/>
      </c>
      <c r="T17" s="28">
        <f>'Raw OI Data'!H18-'Raw OI Data'!J18</f>
        <v/>
      </c>
      <c r="U17" s="26" t="n"/>
      <c r="V17" s="28">
        <f>'Raw OI Data'!H19-'Raw OI Data'!J19</f>
        <v/>
      </c>
      <c r="W17" s="28">
        <f>'Raw OI Data'!H20-'Raw OI Data'!J20</f>
        <v/>
      </c>
      <c r="X17" s="28">
        <f>'Raw OI Data'!H21-'Raw OI Data'!J21</f>
        <v/>
      </c>
      <c r="Y17" s="28">
        <f>'Raw OI Data'!H22-'Raw OI Data'!J22</f>
        <v/>
      </c>
      <c r="Z17" s="26" t="n"/>
    </row>
    <row r="18" ht="14" customHeight="1">
      <c r="A18" s="25" t="inlineStr">
        <is>
          <t>Net Idx Put Vol</t>
        </is>
      </c>
      <c r="B18" s="32">
        <f>'Raw TV Data'!H3-'Raw TV Data'!J3</f>
        <v/>
      </c>
      <c r="C18" s="32">
        <f>'Raw TV Data'!H4-'Raw TV Data'!J4</f>
        <v/>
      </c>
      <c r="D18" s="32">
        <f>'Raw TV Data'!H5-'Raw TV Data'!J5</f>
        <v/>
      </c>
      <c r="E18" s="32">
        <f>'Raw TV Data'!H6-'Raw TV Data'!J6</f>
        <v/>
      </c>
      <c r="F18" s="27" t="n"/>
      <c r="G18" s="32">
        <f>'Raw TV Data'!H7-'Raw TV Data'!J7</f>
        <v/>
      </c>
      <c r="H18" s="32">
        <f>'Raw TV Data'!H8-'Raw TV Data'!J8</f>
        <v/>
      </c>
      <c r="I18" s="32">
        <f>'Raw TV Data'!H9-'Raw TV Data'!J9</f>
        <v/>
      </c>
      <c r="J18" s="32">
        <f>'Raw TV Data'!H10-'Raw TV Data'!J10</f>
        <v/>
      </c>
      <c r="K18" s="27" t="n"/>
      <c r="L18" s="32">
        <f>'Raw TV Data'!H11-'Raw TV Data'!J11</f>
        <v/>
      </c>
      <c r="M18" s="32">
        <f>'Raw TV Data'!H12-'Raw TV Data'!J12</f>
        <v/>
      </c>
      <c r="N18" s="32">
        <f>'Raw TV Data'!H13-'Raw TV Data'!J13</f>
        <v/>
      </c>
      <c r="O18" s="32">
        <f>'Raw TV Data'!H14-'Raw TV Data'!J14</f>
        <v/>
      </c>
      <c r="P18" s="27" t="n"/>
      <c r="Q18" s="32">
        <f>'Raw TV Data'!H15-'Raw TV Data'!J15</f>
        <v/>
      </c>
      <c r="R18" s="32">
        <f>'Raw TV Data'!H16-'Raw TV Data'!J16</f>
        <v/>
      </c>
      <c r="S18" s="32">
        <f>'Raw TV Data'!H17-'Raw TV Data'!J17</f>
        <v/>
      </c>
      <c r="T18" s="32">
        <f>'Raw TV Data'!H18-'Raw TV Data'!J18</f>
        <v/>
      </c>
      <c r="U18" s="27" t="n"/>
      <c r="V18" s="32">
        <f>'Raw TV Data'!H19-'Raw TV Data'!J19</f>
        <v/>
      </c>
      <c r="W18" s="32">
        <f>'Raw TV Data'!H20-'Raw TV Data'!J20</f>
        <v/>
      </c>
      <c r="X18" s="32">
        <f>'Raw TV Data'!H21-'Raw TV Data'!J21</f>
        <v/>
      </c>
      <c r="Y18" s="32">
        <f>'Raw TV Data'!H22-'Raw TV Data'!J22</f>
        <v/>
      </c>
      <c r="Z18" s="27" t="n"/>
    </row>
  </sheetData>
  <mergeCells count="8">
    <mergeCell ref="A1:Z1"/>
    <mergeCell ref="V2:Y2"/>
    <mergeCell ref="L2:O2"/>
    <mergeCell ref="A4:Z4"/>
    <mergeCell ref="G2:J2"/>
    <mergeCell ref="A12:Z12"/>
    <mergeCell ref="B2:E2"/>
    <mergeCell ref="Q2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</cols>
  <sheetData>
    <row r="1" ht="22" customHeight="1">
      <c r="A1" s="1" t="inlineStr">
        <is>
          <t>NSE FAO — Day-on-Day OI &amp; Volume Changes</t>
        </is>
      </c>
    </row>
    <row r="2" ht="28" customHeight="1">
      <c r="A2" s="19" t="inlineStr">
        <is>
          <t>Metric</t>
        </is>
      </c>
      <c r="B2" s="36" t="inlineStr">
        <is>
          <t>Jun 30 2026 → Jul 01 2026</t>
        </is>
      </c>
      <c r="C2" s="20" t="n"/>
      <c r="D2" s="20" t="n"/>
      <c r="E2" s="20" t="n"/>
      <c r="F2" s="20" t="n"/>
      <c r="G2" s="36" t="inlineStr">
        <is>
          <t>Jul 01 2026 → Jul 02 2026</t>
        </is>
      </c>
      <c r="H2" s="20" t="n"/>
      <c r="I2" s="20" t="n"/>
      <c r="J2" s="20" t="n"/>
      <c r="K2" s="20" t="n"/>
      <c r="L2" s="36" t="inlineStr">
        <is>
          <t>Jul 02 2026 → Jul 03 2026</t>
        </is>
      </c>
      <c r="M2" s="20" t="n"/>
      <c r="N2" s="20" t="n"/>
      <c r="O2" s="20" t="n"/>
      <c r="P2" s="20" t="n"/>
      <c r="Q2" s="36" t="inlineStr">
        <is>
          <t>Jul 03 2026 → Jul 06 2026</t>
        </is>
      </c>
      <c r="R2" s="20" t="n"/>
      <c r="S2" s="20" t="n"/>
      <c r="T2" s="20" t="n"/>
      <c r="U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</row>
    <row r="4" ht="16" customHeight="1">
      <c r="A4" s="14" t="inlineStr">
        <is>
          <t>OI CHANGES  (current session − previous session)</t>
        </is>
      </c>
    </row>
    <row r="5" ht="14" customHeight="1">
      <c r="A5" s="25" t="inlineStr">
        <is>
          <t>Δ Fut Index Long</t>
        </is>
      </c>
      <c r="B5" s="28">
        <f>'Raw OI Data'!C7-'Raw OI Data'!C3</f>
        <v/>
      </c>
      <c r="C5" s="28">
        <f>'Raw OI Data'!C8-'Raw OI Data'!C4</f>
        <v/>
      </c>
      <c r="D5" s="28">
        <f>'Raw OI Data'!C9-'Raw OI Data'!C5</f>
        <v/>
      </c>
      <c r="E5" s="28">
        <f>'Raw OI Data'!C10-'Raw OI Data'!C6</f>
        <v/>
      </c>
      <c r="F5" s="26" t="n"/>
      <c r="G5" s="28">
        <f>'Raw OI Data'!C11-'Raw OI Data'!C7</f>
        <v/>
      </c>
      <c r="H5" s="28">
        <f>'Raw OI Data'!C12-'Raw OI Data'!C8</f>
        <v/>
      </c>
      <c r="I5" s="28">
        <f>'Raw OI Data'!C13-'Raw OI Data'!C9</f>
        <v/>
      </c>
      <c r="J5" s="28">
        <f>'Raw OI Data'!C14-'Raw OI Data'!C10</f>
        <v/>
      </c>
      <c r="K5" s="26" t="n"/>
      <c r="L5" s="28">
        <f>'Raw OI Data'!C15-'Raw OI Data'!C11</f>
        <v/>
      </c>
      <c r="M5" s="28">
        <f>'Raw OI Data'!C16-'Raw OI Data'!C12</f>
        <v/>
      </c>
      <c r="N5" s="28">
        <f>'Raw OI Data'!C17-'Raw OI Data'!C13</f>
        <v/>
      </c>
      <c r="O5" s="28">
        <f>'Raw OI Data'!C18-'Raw OI Data'!C14</f>
        <v/>
      </c>
      <c r="P5" s="26" t="n"/>
      <c r="Q5" s="28">
        <f>'Raw OI Data'!C19-'Raw OI Data'!C15</f>
        <v/>
      </c>
      <c r="R5" s="28">
        <f>'Raw OI Data'!C20-'Raw OI Data'!C16</f>
        <v/>
      </c>
      <c r="S5" s="28">
        <f>'Raw OI Data'!C21-'Raw OI Data'!C17</f>
        <v/>
      </c>
      <c r="T5" s="28">
        <f>'Raw OI Data'!C22-'Raw OI Data'!C18</f>
        <v/>
      </c>
      <c r="U5" s="26" t="n"/>
    </row>
    <row r="6" ht="14" customHeight="1">
      <c r="A6" s="25" t="inlineStr">
        <is>
          <t>Δ Fut Index Short</t>
        </is>
      </c>
      <c r="B6" s="32">
        <f>'Raw OI Data'!D7-'Raw OI Data'!D3</f>
        <v/>
      </c>
      <c r="C6" s="32">
        <f>'Raw OI Data'!D8-'Raw OI Data'!D4</f>
        <v/>
      </c>
      <c r="D6" s="32">
        <f>'Raw OI Data'!D9-'Raw OI Data'!D5</f>
        <v/>
      </c>
      <c r="E6" s="32">
        <f>'Raw OI Data'!D10-'Raw OI Data'!D6</f>
        <v/>
      </c>
      <c r="F6" s="27" t="n"/>
      <c r="G6" s="32">
        <f>'Raw OI Data'!D11-'Raw OI Data'!D7</f>
        <v/>
      </c>
      <c r="H6" s="32">
        <f>'Raw OI Data'!D12-'Raw OI Data'!D8</f>
        <v/>
      </c>
      <c r="I6" s="32">
        <f>'Raw OI Data'!D13-'Raw OI Data'!D9</f>
        <v/>
      </c>
      <c r="J6" s="32">
        <f>'Raw OI Data'!D14-'Raw OI Data'!D10</f>
        <v/>
      </c>
      <c r="K6" s="27" t="n"/>
      <c r="L6" s="32">
        <f>'Raw OI Data'!D15-'Raw OI Data'!D11</f>
        <v/>
      </c>
      <c r="M6" s="32">
        <f>'Raw OI Data'!D16-'Raw OI Data'!D12</f>
        <v/>
      </c>
      <c r="N6" s="32">
        <f>'Raw OI Data'!D17-'Raw OI Data'!D13</f>
        <v/>
      </c>
      <c r="O6" s="32">
        <f>'Raw OI Data'!D18-'Raw OI Data'!D14</f>
        <v/>
      </c>
      <c r="P6" s="27" t="n"/>
      <c r="Q6" s="32">
        <f>'Raw OI Data'!D19-'Raw OI Data'!D15</f>
        <v/>
      </c>
      <c r="R6" s="32">
        <f>'Raw OI Data'!D20-'Raw OI Data'!D16</f>
        <v/>
      </c>
      <c r="S6" s="32">
        <f>'Raw OI Data'!D21-'Raw OI Data'!D17</f>
        <v/>
      </c>
      <c r="T6" s="32">
        <f>'Raw OI Data'!D22-'Raw OI Data'!D18</f>
        <v/>
      </c>
      <c r="U6" s="27" t="n"/>
    </row>
    <row r="7" ht="14" customHeight="1">
      <c r="A7" s="25" t="inlineStr">
        <is>
          <t>Δ Net Fut Index OI</t>
        </is>
      </c>
      <c r="B7" s="28">
        <f>('Raw OI Data'!C7-'Raw OI Data'!D7)-('Raw OI Data'!C3-'Raw OI Data'!D3)</f>
        <v/>
      </c>
      <c r="C7" s="28">
        <f>('Raw OI Data'!C8-'Raw OI Data'!D8)-('Raw OI Data'!C4-'Raw OI Data'!D4)</f>
        <v/>
      </c>
      <c r="D7" s="28">
        <f>('Raw OI Data'!C9-'Raw OI Data'!D9)-('Raw OI Data'!C5-'Raw OI Data'!D5)</f>
        <v/>
      </c>
      <c r="E7" s="28">
        <f>('Raw OI Data'!C10-'Raw OI Data'!D10)-('Raw OI Data'!C6-'Raw OI Data'!D6)</f>
        <v/>
      </c>
      <c r="F7" s="26" t="n"/>
      <c r="G7" s="28">
        <f>('Raw OI Data'!C11-'Raw OI Data'!D11)-('Raw OI Data'!C7-'Raw OI Data'!D7)</f>
        <v/>
      </c>
      <c r="H7" s="28">
        <f>('Raw OI Data'!C12-'Raw OI Data'!D12)-('Raw OI Data'!C8-'Raw OI Data'!D8)</f>
        <v/>
      </c>
      <c r="I7" s="28">
        <f>('Raw OI Data'!C13-'Raw OI Data'!D13)-('Raw OI Data'!C9-'Raw OI Data'!D9)</f>
        <v/>
      </c>
      <c r="J7" s="28">
        <f>('Raw OI Data'!C14-'Raw OI Data'!D14)-('Raw OI Data'!C10-'Raw OI Data'!D10)</f>
        <v/>
      </c>
      <c r="K7" s="26" t="n"/>
      <c r="L7" s="28">
        <f>('Raw OI Data'!C15-'Raw OI Data'!D15)-('Raw OI Data'!C11-'Raw OI Data'!D11)</f>
        <v/>
      </c>
      <c r="M7" s="28">
        <f>('Raw OI Data'!C16-'Raw OI Data'!D16)-('Raw OI Data'!C12-'Raw OI Data'!D12)</f>
        <v/>
      </c>
      <c r="N7" s="28">
        <f>('Raw OI Data'!C17-'Raw OI Data'!D17)-('Raw OI Data'!C13-'Raw OI Data'!D13)</f>
        <v/>
      </c>
      <c r="O7" s="28">
        <f>('Raw OI Data'!C18-'Raw OI Data'!D18)-('Raw OI Data'!C14-'Raw OI Data'!D14)</f>
        <v/>
      </c>
      <c r="P7" s="26" t="n"/>
      <c r="Q7" s="28">
        <f>('Raw OI Data'!C19-'Raw OI Data'!D19)-('Raw OI Data'!C15-'Raw OI Data'!D15)</f>
        <v/>
      </c>
      <c r="R7" s="28">
        <f>('Raw OI Data'!C20-'Raw OI Data'!D20)-('Raw OI Data'!C16-'Raw OI Data'!D16)</f>
        <v/>
      </c>
      <c r="S7" s="28">
        <f>('Raw OI Data'!C21-'Raw OI Data'!D21)-('Raw OI Data'!C17-'Raw OI Data'!D17)</f>
        <v/>
      </c>
      <c r="T7" s="28">
        <f>('Raw OI Data'!C22-'Raw OI Data'!D22)-('Raw OI Data'!C18-'Raw OI Data'!D18)</f>
        <v/>
      </c>
      <c r="U7" s="26" t="n"/>
    </row>
    <row r="8" ht="14" customHeight="1">
      <c r="A8" s="25" t="inlineStr">
        <is>
          <t>Δ Fut Stock Long</t>
        </is>
      </c>
      <c r="B8" s="32">
        <f>'Raw OI Data'!E7-'Raw OI Data'!E3</f>
        <v/>
      </c>
      <c r="C8" s="32">
        <f>'Raw OI Data'!E8-'Raw OI Data'!E4</f>
        <v/>
      </c>
      <c r="D8" s="32">
        <f>'Raw OI Data'!E9-'Raw OI Data'!E5</f>
        <v/>
      </c>
      <c r="E8" s="32">
        <f>'Raw OI Data'!E10-'Raw OI Data'!E6</f>
        <v/>
      </c>
      <c r="F8" s="27" t="n"/>
      <c r="G8" s="32">
        <f>'Raw OI Data'!E11-'Raw OI Data'!E7</f>
        <v/>
      </c>
      <c r="H8" s="32">
        <f>'Raw OI Data'!E12-'Raw OI Data'!E8</f>
        <v/>
      </c>
      <c r="I8" s="32">
        <f>'Raw OI Data'!E13-'Raw OI Data'!E9</f>
        <v/>
      </c>
      <c r="J8" s="32">
        <f>'Raw OI Data'!E14-'Raw OI Data'!E10</f>
        <v/>
      </c>
      <c r="K8" s="27" t="n"/>
      <c r="L8" s="32">
        <f>'Raw OI Data'!E15-'Raw OI Data'!E11</f>
        <v/>
      </c>
      <c r="M8" s="32">
        <f>'Raw OI Data'!E16-'Raw OI Data'!E12</f>
        <v/>
      </c>
      <c r="N8" s="32">
        <f>'Raw OI Data'!E17-'Raw OI Data'!E13</f>
        <v/>
      </c>
      <c r="O8" s="32">
        <f>'Raw OI Data'!E18-'Raw OI Data'!E14</f>
        <v/>
      </c>
      <c r="P8" s="27" t="n"/>
      <c r="Q8" s="32">
        <f>'Raw OI Data'!E19-'Raw OI Data'!E15</f>
        <v/>
      </c>
      <c r="R8" s="32">
        <f>'Raw OI Data'!E20-'Raw OI Data'!E16</f>
        <v/>
      </c>
      <c r="S8" s="32">
        <f>'Raw OI Data'!E21-'Raw OI Data'!E17</f>
        <v/>
      </c>
      <c r="T8" s="32">
        <f>'Raw OI Data'!E22-'Raw OI Data'!E18</f>
        <v/>
      </c>
      <c r="U8" s="27" t="n"/>
    </row>
    <row r="9" ht="14" customHeight="1">
      <c r="A9" s="25" t="inlineStr">
        <is>
          <t>Δ Fut Stock Short</t>
        </is>
      </c>
      <c r="B9" s="28">
        <f>'Raw OI Data'!F7-'Raw OI Data'!F3</f>
        <v/>
      </c>
      <c r="C9" s="28">
        <f>'Raw OI Data'!F8-'Raw OI Data'!F4</f>
        <v/>
      </c>
      <c r="D9" s="28">
        <f>'Raw OI Data'!F9-'Raw OI Data'!F5</f>
        <v/>
      </c>
      <c r="E9" s="28">
        <f>'Raw OI Data'!F10-'Raw OI Data'!F6</f>
        <v/>
      </c>
      <c r="F9" s="26" t="n"/>
      <c r="G9" s="28">
        <f>'Raw OI Data'!F11-'Raw OI Data'!F7</f>
        <v/>
      </c>
      <c r="H9" s="28">
        <f>'Raw OI Data'!F12-'Raw OI Data'!F8</f>
        <v/>
      </c>
      <c r="I9" s="28">
        <f>'Raw OI Data'!F13-'Raw OI Data'!F9</f>
        <v/>
      </c>
      <c r="J9" s="28">
        <f>'Raw OI Data'!F14-'Raw OI Data'!F10</f>
        <v/>
      </c>
      <c r="K9" s="26" t="n"/>
      <c r="L9" s="28">
        <f>'Raw OI Data'!F15-'Raw OI Data'!F11</f>
        <v/>
      </c>
      <c r="M9" s="28">
        <f>'Raw OI Data'!F16-'Raw OI Data'!F12</f>
        <v/>
      </c>
      <c r="N9" s="28">
        <f>'Raw OI Data'!F17-'Raw OI Data'!F13</f>
        <v/>
      </c>
      <c r="O9" s="28">
        <f>'Raw OI Data'!F18-'Raw OI Data'!F14</f>
        <v/>
      </c>
      <c r="P9" s="26" t="n"/>
      <c r="Q9" s="28">
        <f>'Raw OI Data'!F19-'Raw OI Data'!F15</f>
        <v/>
      </c>
      <c r="R9" s="28">
        <f>'Raw OI Data'!F20-'Raw OI Data'!F16</f>
        <v/>
      </c>
      <c r="S9" s="28">
        <f>'Raw OI Data'!F21-'Raw OI Data'!F17</f>
        <v/>
      </c>
      <c r="T9" s="28">
        <f>'Raw OI Data'!F22-'Raw OI Data'!F18</f>
        <v/>
      </c>
      <c r="U9" s="26" t="n"/>
    </row>
    <row r="10" ht="14" customHeight="1">
      <c r="A10" s="25" t="inlineStr">
        <is>
          <t>Δ Net Fut Stock OI</t>
        </is>
      </c>
      <c r="B10" s="32">
        <f>('Raw OI Data'!E7-'Raw OI Data'!F7)-('Raw OI Data'!E3-'Raw OI Data'!F3)</f>
        <v/>
      </c>
      <c r="C10" s="32">
        <f>('Raw OI Data'!E8-'Raw OI Data'!F8)-('Raw OI Data'!E4-'Raw OI Data'!F4)</f>
        <v/>
      </c>
      <c r="D10" s="32">
        <f>('Raw OI Data'!E9-'Raw OI Data'!F9)-('Raw OI Data'!E5-'Raw OI Data'!F5)</f>
        <v/>
      </c>
      <c r="E10" s="32">
        <f>('Raw OI Data'!E10-'Raw OI Data'!F10)-('Raw OI Data'!E6-'Raw OI Data'!F6)</f>
        <v/>
      </c>
      <c r="F10" s="27" t="n"/>
      <c r="G10" s="32">
        <f>('Raw OI Data'!E11-'Raw OI Data'!F11)-('Raw OI Data'!E7-'Raw OI Data'!F7)</f>
        <v/>
      </c>
      <c r="H10" s="32">
        <f>('Raw OI Data'!E12-'Raw OI Data'!F12)-('Raw OI Data'!E8-'Raw OI Data'!F8)</f>
        <v/>
      </c>
      <c r="I10" s="32">
        <f>('Raw OI Data'!E13-'Raw OI Data'!F13)-('Raw OI Data'!E9-'Raw OI Data'!F9)</f>
        <v/>
      </c>
      <c r="J10" s="32">
        <f>('Raw OI Data'!E14-'Raw OI Data'!F14)-('Raw OI Data'!E10-'Raw OI Data'!F10)</f>
        <v/>
      </c>
      <c r="K10" s="27" t="n"/>
      <c r="L10" s="32">
        <f>('Raw OI Data'!E15-'Raw OI Data'!F15)-('Raw OI Data'!E11-'Raw OI Data'!F11)</f>
        <v/>
      </c>
      <c r="M10" s="32">
        <f>('Raw OI Data'!E16-'Raw OI Data'!F16)-('Raw OI Data'!E12-'Raw OI Data'!F12)</f>
        <v/>
      </c>
      <c r="N10" s="32">
        <f>('Raw OI Data'!E17-'Raw OI Data'!F17)-('Raw OI Data'!E13-'Raw OI Data'!F13)</f>
        <v/>
      </c>
      <c r="O10" s="32">
        <f>('Raw OI Data'!E18-'Raw OI Data'!F18)-('Raw OI Data'!E14-'Raw OI Data'!F14)</f>
        <v/>
      </c>
      <c r="P10" s="27" t="n"/>
      <c r="Q10" s="32">
        <f>('Raw OI Data'!E19-'Raw OI Data'!F19)-('Raw OI Data'!E15-'Raw OI Data'!F15)</f>
        <v/>
      </c>
      <c r="R10" s="32">
        <f>('Raw OI Data'!E20-'Raw OI Data'!F20)-('Raw OI Data'!E16-'Raw OI Data'!F16)</f>
        <v/>
      </c>
      <c r="S10" s="32">
        <f>('Raw OI Data'!E21-'Raw OI Data'!F21)-('Raw OI Data'!E17-'Raw OI Data'!F17)</f>
        <v/>
      </c>
      <c r="T10" s="32">
        <f>('Raw OI Data'!E22-'Raw OI Data'!F22)-('Raw OI Data'!E18-'Raw OI Data'!F18)</f>
        <v/>
      </c>
      <c r="U10" s="27" t="n"/>
    </row>
    <row r="11" ht="14" customHeight="1">
      <c r="A11" s="25" t="inlineStr">
        <is>
          <t>Δ Idx Call Long OI</t>
        </is>
      </c>
      <c r="B11" s="28">
        <f>'Raw OI Data'!G7-'Raw OI Data'!G3</f>
        <v/>
      </c>
      <c r="C11" s="28">
        <f>'Raw OI Data'!G8-'Raw OI Data'!G4</f>
        <v/>
      </c>
      <c r="D11" s="28">
        <f>'Raw OI Data'!G9-'Raw OI Data'!G5</f>
        <v/>
      </c>
      <c r="E11" s="28">
        <f>'Raw OI Data'!G10-'Raw OI Data'!G6</f>
        <v/>
      </c>
      <c r="F11" s="26" t="n"/>
      <c r="G11" s="28">
        <f>'Raw OI Data'!G11-'Raw OI Data'!G7</f>
        <v/>
      </c>
      <c r="H11" s="28">
        <f>'Raw OI Data'!G12-'Raw OI Data'!G8</f>
        <v/>
      </c>
      <c r="I11" s="28">
        <f>'Raw OI Data'!G13-'Raw OI Data'!G9</f>
        <v/>
      </c>
      <c r="J11" s="28">
        <f>'Raw OI Data'!G14-'Raw OI Data'!G10</f>
        <v/>
      </c>
      <c r="K11" s="26" t="n"/>
      <c r="L11" s="28">
        <f>'Raw OI Data'!G15-'Raw OI Data'!G11</f>
        <v/>
      </c>
      <c r="M11" s="28">
        <f>'Raw OI Data'!G16-'Raw OI Data'!G12</f>
        <v/>
      </c>
      <c r="N11" s="28">
        <f>'Raw OI Data'!G17-'Raw OI Data'!G13</f>
        <v/>
      </c>
      <c r="O11" s="28">
        <f>'Raw OI Data'!G18-'Raw OI Data'!G14</f>
        <v/>
      </c>
      <c r="P11" s="26" t="n"/>
      <c r="Q11" s="28">
        <f>'Raw OI Data'!G19-'Raw OI Data'!G15</f>
        <v/>
      </c>
      <c r="R11" s="28">
        <f>'Raw OI Data'!G20-'Raw OI Data'!G16</f>
        <v/>
      </c>
      <c r="S11" s="28">
        <f>'Raw OI Data'!G21-'Raw OI Data'!G17</f>
        <v/>
      </c>
      <c r="T11" s="28">
        <f>'Raw OI Data'!G22-'Raw OI Data'!G18</f>
        <v/>
      </c>
      <c r="U11" s="26" t="n"/>
    </row>
    <row r="12" ht="14" customHeight="1">
      <c r="A12" s="25" t="inlineStr">
        <is>
          <t>Δ Idx Put Long OI</t>
        </is>
      </c>
      <c r="B12" s="32">
        <f>'Raw OI Data'!H7-'Raw OI Data'!H3</f>
        <v/>
      </c>
      <c r="C12" s="32">
        <f>'Raw OI Data'!H8-'Raw OI Data'!H4</f>
        <v/>
      </c>
      <c r="D12" s="32">
        <f>'Raw OI Data'!H9-'Raw OI Data'!H5</f>
        <v/>
      </c>
      <c r="E12" s="32">
        <f>'Raw OI Data'!H10-'Raw OI Data'!H6</f>
        <v/>
      </c>
      <c r="F12" s="27" t="n"/>
      <c r="G12" s="32">
        <f>'Raw OI Data'!H11-'Raw OI Data'!H7</f>
        <v/>
      </c>
      <c r="H12" s="32">
        <f>'Raw OI Data'!H12-'Raw OI Data'!H8</f>
        <v/>
      </c>
      <c r="I12" s="32">
        <f>'Raw OI Data'!H13-'Raw OI Data'!H9</f>
        <v/>
      </c>
      <c r="J12" s="32">
        <f>'Raw OI Data'!H14-'Raw OI Data'!H10</f>
        <v/>
      </c>
      <c r="K12" s="27" t="n"/>
      <c r="L12" s="32">
        <f>'Raw OI Data'!H15-'Raw OI Data'!H11</f>
        <v/>
      </c>
      <c r="M12" s="32">
        <f>'Raw OI Data'!H16-'Raw OI Data'!H12</f>
        <v/>
      </c>
      <c r="N12" s="32">
        <f>'Raw OI Data'!H17-'Raw OI Data'!H13</f>
        <v/>
      </c>
      <c r="O12" s="32">
        <f>'Raw OI Data'!H18-'Raw OI Data'!H14</f>
        <v/>
      </c>
      <c r="P12" s="27" t="n"/>
      <c r="Q12" s="32">
        <f>'Raw OI Data'!H19-'Raw OI Data'!H15</f>
        <v/>
      </c>
      <c r="R12" s="32">
        <f>'Raw OI Data'!H20-'Raw OI Data'!H16</f>
        <v/>
      </c>
      <c r="S12" s="32">
        <f>'Raw OI Data'!H21-'Raw OI Data'!H17</f>
        <v/>
      </c>
      <c r="T12" s="32">
        <f>'Raw OI Data'!H22-'Raw OI Data'!H18</f>
        <v/>
      </c>
      <c r="U12" s="27" t="n"/>
    </row>
    <row r="13" ht="14" customHeight="1">
      <c r="A13" s="25" t="inlineStr">
        <is>
          <t>Δ Index OI PCR</t>
        </is>
      </c>
      <c r="B13" s="18">
        <f>IFERROR('Raw OI Data'!H7/'Raw OI Data'!G7,0)-IFERROR('Raw OI Data'!H3/'Raw OI Data'!G3,0)</f>
        <v/>
      </c>
      <c r="C13" s="18">
        <f>IFERROR('Raw OI Data'!H8/'Raw OI Data'!G8,0)-IFERROR('Raw OI Data'!H4/'Raw OI Data'!G4,0)</f>
        <v/>
      </c>
      <c r="D13" s="18">
        <f>IFERROR('Raw OI Data'!H9/'Raw OI Data'!G9,0)-IFERROR('Raw OI Data'!H5/'Raw OI Data'!G5,0)</f>
        <v/>
      </c>
      <c r="E13" s="18">
        <f>IFERROR('Raw OI Data'!H10/'Raw OI Data'!G10,0)-IFERROR('Raw OI Data'!H6/'Raw OI Data'!G6,0)</f>
        <v/>
      </c>
      <c r="F13" s="26" t="n"/>
      <c r="G13" s="18">
        <f>IFERROR('Raw OI Data'!H11/'Raw OI Data'!G11,0)-IFERROR('Raw OI Data'!H7/'Raw OI Data'!G7,0)</f>
        <v/>
      </c>
      <c r="H13" s="18">
        <f>IFERROR('Raw OI Data'!H12/'Raw OI Data'!G12,0)-IFERROR('Raw OI Data'!H8/'Raw OI Data'!G8,0)</f>
        <v/>
      </c>
      <c r="I13" s="18">
        <f>IFERROR('Raw OI Data'!H13/'Raw OI Data'!G13,0)-IFERROR('Raw OI Data'!H9/'Raw OI Data'!G9,0)</f>
        <v/>
      </c>
      <c r="J13" s="18">
        <f>IFERROR('Raw OI Data'!H14/'Raw OI Data'!G14,0)-IFERROR('Raw OI Data'!H10/'Raw OI Data'!G10,0)</f>
        <v/>
      </c>
      <c r="K13" s="26" t="n"/>
      <c r="L13" s="18">
        <f>IFERROR('Raw OI Data'!H15/'Raw OI Data'!G15,0)-IFERROR('Raw OI Data'!H11/'Raw OI Data'!G11,0)</f>
        <v/>
      </c>
      <c r="M13" s="18">
        <f>IFERROR('Raw OI Data'!H16/'Raw OI Data'!G16,0)-IFERROR('Raw OI Data'!H12/'Raw OI Data'!G12,0)</f>
        <v/>
      </c>
      <c r="N13" s="18">
        <f>IFERROR('Raw OI Data'!H17/'Raw OI Data'!G17,0)-IFERROR('Raw OI Data'!H13/'Raw OI Data'!G13,0)</f>
        <v/>
      </c>
      <c r="O13" s="18">
        <f>IFERROR('Raw OI Data'!H18/'Raw OI Data'!G18,0)-IFERROR('Raw OI Data'!H14/'Raw OI Data'!G14,0)</f>
        <v/>
      </c>
      <c r="P13" s="26" t="n"/>
      <c r="Q13" s="18">
        <f>IFERROR('Raw OI Data'!H19/'Raw OI Data'!G19,0)-IFERROR('Raw OI Data'!H15/'Raw OI Data'!G15,0)</f>
        <v/>
      </c>
      <c r="R13" s="18">
        <f>IFERROR('Raw OI Data'!H20/'Raw OI Data'!G20,0)-IFERROR('Raw OI Data'!H16/'Raw OI Data'!G16,0)</f>
        <v/>
      </c>
      <c r="S13" s="18">
        <f>IFERROR('Raw OI Data'!H21/'Raw OI Data'!G21,0)-IFERROR('Raw OI Data'!H17/'Raw OI Data'!G17,0)</f>
        <v/>
      </c>
      <c r="T13" s="18">
        <f>IFERROR('Raw OI Data'!H22/'Raw OI Data'!G22,0)-IFERROR('Raw OI Data'!H18/'Raw OI Data'!G18,0)</f>
        <v/>
      </c>
      <c r="U13" s="26" t="n"/>
    </row>
    <row r="14" ht="14" customHeight="1">
      <c r="A14" s="25" t="inlineStr">
        <is>
          <t>Δ Total Long OI</t>
        </is>
      </c>
      <c r="B14" s="32">
        <f>'Raw OI Data'!O7-'Raw OI Data'!O3</f>
        <v/>
      </c>
      <c r="C14" s="32">
        <f>'Raw OI Data'!O8-'Raw OI Data'!O4</f>
        <v/>
      </c>
      <c r="D14" s="32">
        <f>'Raw OI Data'!O9-'Raw OI Data'!O5</f>
        <v/>
      </c>
      <c r="E14" s="32">
        <f>'Raw OI Data'!O10-'Raw OI Data'!O6</f>
        <v/>
      </c>
      <c r="F14" s="27" t="n"/>
      <c r="G14" s="32">
        <f>'Raw OI Data'!O11-'Raw OI Data'!O7</f>
        <v/>
      </c>
      <c r="H14" s="32">
        <f>'Raw OI Data'!O12-'Raw OI Data'!O8</f>
        <v/>
      </c>
      <c r="I14" s="32">
        <f>'Raw OI Data'!O13-'Raw OI Data'!O9</f>
        <v/>
      </c>
      <c r="J14" s="32">
        <f>'Raw OI Data'!O14-'Raw OI Data'!O10</f>
        <v/>
      </c>
      <c r="K14" s="27" t="n"/>
      <c r="L14" s="32">
        <f>'Raw OI Data'!O15-'Raw OI Data'!O11</f>
        <v/>
      </c>
      <c r="M14" s="32">
        <f>'Raw OI Data'!O16-'Raw OI Data'!O12</f>
        <v/>
      </c>
      <c r="N14" s="32">
        <f>'Raw OI Data'!O17-'Raw OI Data'!O13</f>
        <v/>
      </c>
      <c r="O14" s="32">
        <f>'Raw OI Data'!O18-'Raw OI Data'!O14</f>
        <v/>
      </c>
      <c r="P14" s="27" t="n"/>
      <c r="Q14" s="32">
        <f>'Raw OI Data'!O19-'Raw OI Data'!O15</f>
        <v/>
      </c>
      <c r="R14" s="32">
        <f>'Raw OI Data'!O20-'Raw OI Data'!O16</f>
        <v/>
      </c>
      <c r="S14" s="32">
        <f>'Raw OI Data'!O21-'Raw OI Data'!O17</f>
        <v/>
      </c>
      <c r="T14" s="32">
        <f>'Raw OI Data'!O22-'Raw OI Data'!O18</f>
        <v/>
      </c>
      <c r="U14" s="27" t="n"/>
    </row>
    <row r="15" ht="14" customHeight="1">
      <c r="A15" s="25" t="inlineStr">
        <is>
          <t>Δ Total Short OI</t>
        </is>
      </c>
      <c r="B15" s="28">
        <f>'Raw OI Data'!P7-'Raw OI Data'!P3</f>
        <v/>
      </c>
      <c r="C15" s="28">
        <f>'Raw OI Data'!P8-'Raw OI Data'!P4</f>
        <v/>
      </c>
      <c r="D15" s="28">
        <f>'Raw OI Data'!P9-'Raw OI Data'!P5</f>
        <v/>
      </c>
      <c r="E15" s="28">
        <f>'Raw OI Data'!P10-'Raw OI Data'!P6</f>
        <v/>
      </c>
      <c r="F15" s="26" t="n"/>
      <c r="G15" s="28">
        <f>'Raw OI Data'!P11-'Raw OI Data'!P7</f>
        <v/>
      </c>
      <c r="H15" s="28">
        <f>'Raw OI Data'!P12-'Raw OI Data'!P8</f>
        <v/>
      </c>
      <c r="I15" s="28">
        <f>'Raw OI Data'!P13-'Raw OI Data'!P9</f>
        <v/>
      </c>
      <c r="J15" s="28">
        <f>'Raw OI Data'!P14-'Raw OI Data'!P10</f>
        <v/>
      </c>
      <c r="K15" s="26" t="n"/>
      <c r="L15" s="28">
        <f>'Raw OI Data'!P15-'Raw OI Data'!P11</f>
        <v/>
      </c>
      <c r="M15" s="28">
        <f>'Raw OI Data'!P16-'Raw OI Data'!P12</f>
        <v/>
      </c>
      <c r="N15" s="28">
        <f>'Raw OI Data'!P17-'Raw OI Data'!P13</f>
        <v/>
      </c>
      <c r="O15" s="28">
        <f>'Raw OI Data'!P18-'Raw OI Data'!P14</f>
        <v/>
      </c>
      <c r="P15" s="26" t="n"/>
      <c r="Q15" s="28">
        <f>'Raw OI Data'!P19-'Raw OI Data'!P15</f>
        <v/>
      </c>
      <c r="R15" s="28">
        <f>'Raw OI Data'!P20-'Raw OI Data'!P16</f>
        <v/>
      </c>
      <c r="S15" s="28">
        <f>'Raw OI Data'!P21-'Raw OI Data'!P17</f>
        <v/>
      </c>
      <c r="T15" s="28">
        <f>'Raw OI Data'!P22-'Raw OI Data'!P18</f>
        <v/>
      </c>
      <c r="U15" s="26" t="n"/>
    </row>
    <row r="16" ht="14" customHeight="1">
      <c r="A16" s="25" t="inlineStr">
        <is>
          <t>Δ Net Total OI</t>
        </is>
      </c>
      <c r="B16" s="32">
        <f>('Raw OI Data'!O7-'Raw OI Data'!P7)-('Raw OI Data'!O3-'Raw OI Data'!P3)</f>
        <v/>
      </c>
      <c r="C16" s="32">
        <f>('Raw OI Data'!O8-'Raw OI Data'!P8)-('Raw OI Data'!O4-'Raw OI Data'!P4)</f>
        <v/>
      </c>
      <c r="D16" s="32">
        <f>('Raw OI Data'!O9-'Raw OI Data'!P9)-('Raw OI Data'!O5-'Raw OI Data'!P5)</f>
        <v/>
      </c>
      <c r="E16" s="32">
        <f>('Raw OI Data'!O10-'Raw OI Data'!P10)-('Raw OI Data'!O6-'Raw OI Data'!P6)</f>
        <v/>
      </c>
      <c r="F16" s="27" t="n"/>
      <c r="G16" s="32">
        <f>('Raw OI Data'!O11-'Raw OI Data'!P11)-('Raw OI Data'!O7-'Raw OI Data'!P7)</f>
        <v/>
      </c>
      <c r="H16" s="32">
        <f>('Raw OI Data'!O12-'Raw OI Data'!P12)-('Raw OI Data'!O8-'Raw OI Data'!P8)</f>
        <v/>
      </c>
      <c r="I16" s="32">
        <f>('Raw OI Data'!O13-'Raw OI Data'!P13)-('Raw OI Data'!O9-'Raw OI Data'!P9)</f>
        <v/>
      </c>
      <c r="J16" s="32">
        <f>('Raw OI Data'!O14-'Raw OI Data'!P14)-('Raw OI Data'!O10-'Raw OI Data'!P10)</f>
        <v/>
      </c>
      <c r="K16" s="27" t="n"/>
      <c r="L16" s="32">
        <f>('Raw OI Data'!O15-'Raw OI Data'!P15)-('Raw OI Data'!O11-'Raw OI Data'!P11)</f>
        <v/>
      </c>
      <c r="M16" s="32">
        <f>('Raw OI Data'!O16-'Raw OI Data'!P16)-('Raw OI Data'!O12-'Raw OI Data'!P12)</f>
        <v/>
      </c>
      <c r="N16" s="32">
        <f>('Raw OI Data'!O17-'Raw OI Data'!P17)-('Raw OI Data'!O13-'Raw OI Data'!P13)</f>
        <v/>
      </c>
      <c r="O16" s="32">
        <f>('Raw OI Data'!O18-'Raw OI Data'!P18)-('Raw OI Data'!O14-'Raw OI Data'!P14)</f>
        <v/>
      </c>
      <c r="P16" s="27" t="n"/>
      <c r="Q16" s="32">
        <f>('Raw OI Data'!O19-'Raw OI Data'!P19)-('Raw OI Data'!O15-'Raw OI Data'!P15)</f>
        <v/>
      </c>
      <c r="R16" s="32">
        <f>('Raw OI Data'!O20-'Raw OI Data'!P20)-('Raw OI Data'!O16-'Raw OI Data'!P16)</f>
        <v/>
      </c>
      <c r="S16" s="32">
        <f>('Raw OI Data'!O21-'Raw OI Data'!P21)-('Raw OI Data'!O17-'Raw OI Data'!P17)</f>
        <v/>
      </c>
      <c r="T16" s="32">
        <f>('Raw OI Data'!O22-'Raw OI Data'!P22)-('Raw OI Data'!O18-'Raw OI Data'!P18)</f>
        <v/>
      </c>
      <c r="U16" s="27" t="n"/>
    </row>
    <row r="17" ht="16" customHeight="1">
      <c r="A17" s="14" t="inlineStr">
        <is>
          <t>VOLUME CHANGES</t>
        </is>
      </c>
    </row>
    <row r="18" ht="14" customHeight="1">
      <c r="A18" s="25" t="inlineStr">
        <is>
          <t>Δ Fut Idx Buy Vol</t>
        </is>
      </c>
      <c r="B18" s="28">
        <f>'Raw TV Data'!C7-'Raw TV Data'!C3</f>
        <v/>
      </c>
      <c r="C18" s="28">
        <f>'Raw TV Data'!C8-'Raw TV Data'!C4</f>
        <v/>
      </c>
      <c r="D18" s="28">
        <f>'Raw TV Data'!C9-'Raw TV Data'!C5</f>
        <v/>
      </c>
      <c r="E18" s="28">
        <f>'Raw TV Data'!C10-'Raw TV Data'!C6</f>
        <v/>
      </c>
      <c r="F18" s="26" t="n"/>
      <c r="G18" s="28">
        <f>'Raw TV Data'!C11-'Raw TV Data'!C7</f>
        <v/>
      </c>
      <c r="H18" s="28">
        <f>'Raw TV Data'!C12-'Raw TV Data'!C8</f>
        <v/>
      </c>
      <c r="I18" s="28">
        <f>'Raw TV Data'!C13-'Raw TV Data'!C9</f>
        <v/>
      </c>
      <c r="J18" s="28">
        <f>'Raw TV Data'!C14-'Raw TV Data'!C10</f>
        <v/>
      </c>
      <c r="K18" s="26" t="n"/>
      <c r="L18" s="28">
        <f>'Raw TV Data'!C15-'Raw TV Data'!C11</f>
        <v/>
      </c>
      <c r="M18" s="28">
        <f>'Raw TV Data'!C16-'Raw TV Data'!C12</f>
        <v/>
      </c>
      <c r="N18" s="28">
        <f>'Raw TV Data'!C17-'Raw TV Data'!C13</f>
        <v/>
      </c>
      <c r="O18" s="28">
        <f>'Raw TV Data'!C18-'Raw TV Data'!C14</f>
        <v/>
      </c>
      <c r="P18" s="26" t="n"/>
      <c r="Q18" s="28">
        <f>'Raw TV Data'!C19-'Raw TV Data'!C15</f>
        <v/>
      </c>
      <c r="R18" s="28">
        <f>'Raw TV Data'!C20-'Raw TV Data'!C16</f>
        <v/>
      </c>
      <c r="S18" s="28">
        <f>'Raw TV Data'!C21-'Raw TV Data'!C17</f>
        <v/>
      </c>
      <c r="T18" s="28">
        <f>'Raw TV Data'!C22-'Raw TV Data'!C18</f>
        <v/>
      </c>
      <c r="U18" s="26" t="n"/>
    </row>
    <row r="19" ht="14" customHeight="1">
      <c r="A19" s="25" t="inlineStr">
        <is>
          <t>Δ Idx Call Buy Vol</t>
        </is>
      </c>
      <c r="B19" s="32">
        <f>'Raw TV Data'!G7-'Raw TV Data'!G3</f>
        <v/>
      </c>
      <c r="C19" s="32">
        <f>'Raw TV Data'!G8-'Raw TV Data'!G4</f>
        <v/>
      </c>
      <c r="D19" s="32">
        <f>'Raw TV Data'!G9-'Raw TV Data'!G5</f>
        <v/>
      </c>
      <c r="E19" s="32">
        <f>'Raw TV Data'!G10-'Raw TV Data'!G6</f>
        <v/>
      </c>
      <c r="F19" s="27" t="n"/>
      <c r="G19" s="32">
        <f>'Raw TV Data'!G11-'Raw TV Data'!G7</f>
        <v/>
      </c>
      <c r="H19" s="32">
        <f>'Raw TV Data'!G12-'Raw TV Data'!G8</f>
        <v/>
      </c>
      <c r="I19" s="32">
        <f>'Raw TV Data'!G13-'Raw TV Data'!G9</f>
        <v/>
      </c>
      <c r="J19" s="32">
        <f>'Raw TV Data'!G14-'Raw TV Data'!G10</f>
        <v/>
      </c>
      <c r="K19" s="27" t="n"/>
      <c r="L19" s="32">
        <f>'Raw TV Data'!G15-'Raw TV Data'!G11</f>
        <v/>
      </c>
      <c r="M19" s="32">
        <f>'Raw TV Data'!G16-'Raw TV Data'!G12</f>
        <v/>
      </c>
      <c r="N19" s="32">
        <f>'Raw TV Data'!G17-'Raw TV Data'!G13</f>
        <v/>
      </c>
      <c r="O19" s="32">
        <f>'Raw TV Data'!G18-'Raw TV Data'!G14</f>
        <v/>
      </c>
      <c r="P19" s="27" t="n"/>
      <c r="Q19" s="32">
        <f>'Raw TV Data'!G19-'Raw TV Data'!G15</f>
        <v/>
      </c>
      <c r="R19" s="32">
        <f>'Raw TV Data'!G20-'Raw TV Data'!G16</f>
        <v/>
      </c>
      <c r="S19" s="32">
        <f>'Raw TV Data'!G21-'Raw TV Data'!G17</f>
        <v/>
      </c>
      <c r="T19" s="32">
        <f>'Raw TV Data'!G22-'Raw TV Data'!G18</f>
        <v/>
      </c>
      <c r="U19" s="27" t="n"/>
    </row>
    <row r="20" ht="14" customHeight="1">
      <c r="A20" s="25" t="inlineStr">
        <is>
          <t>Δ Idx Put Buy Vol</t>
        </is>
      </c>
      <c r="B20" s="28">
        <f>'Raw TV Data'!H7-'Raw TV Data'!H3</f>
        <v/>
      </c>
      <c r="C20" s="28">
        <f>'Raw TV Data'!H8-'Raw TV Data'!H4</f>
        <v/>
      </c>
      <c r="D20" s="28">
        <f>'Raw TV Data'!H9-'Raw TV Data'!H5</f>
        <v/>
      </c>
      <c r="E20" s="28">
        <f>'Raw TV Data'!H10-'Raw TV Data'!H6</f>
        <v/>
      </c>
      <c r="F20" s="26" t="n"/>
      <c r="G20" s="28">
        <f>'Raw TV Data'!H11-'Raw TV Data'!H7</f>
        <v/>
      </c>
      <c r="H20" s="28">
        <f>'Raw TV Data'!H12-'Raw TV Data'!H8</f>
        <v/>
      </c>
      <c r="I20" s="28">
        <f>'Raw TV Data'!H13-'Raw TV Data'!H9</f>
        <v/>
      </c>
      <c r="J20" s="28">
        <f>'Raw TV Data'!H14-'Raw TV Data'!H10</f>
        <v/>
      </c>
      <c r="K20" s="26" t="n"/>
      <c r="L20" s="28">
        <f>'Raw TV Data'!H15-'Raw TV Data'!H11</f>
        <v/>
      </c>
      <c r="M20" s="28">
        <f>'Raw TV Data'!H16-'Raw TV Data'!H12</f>
        <v/>
      </c>
      <c r="N20" s="28">
        <f>'Raw TV Data'!H17-'Raw TV Data'!H13</f>
        <v/>
      </c>
      <c r="O20" s="28">
        <f>'Raw TV Data'!H18-'Raw TV Data'!H14</f>
        <v/>
      </c>
      <c r="P20" s="26" t="n"/>
      <c r="Q20" s="28">
        <f>'Raw TV Data'!H19-'Raw TV Data'!H15</f>
        <v/>
      </c>
      <c r="R20" s="28">
        <f>'Raw TV Data'!H20-'Raw TV Data'!H16</f>
        <v/>
      </c>
      <c r="S20" s="28">
        <f>'Raw TV Data'!H21-'Raw TV Data'!H17</f>
        <v/>
      </c>
      <c r="T20" s="28">
        <f>'Raw TV Data'!H22-'Raw TV Data'!H18</f>
        <v/>
      </c>
      <c r="U20" s="26" t="n"/>
    </row>
    <row r="21" ht="14" customHeight="1">
      <c r="A21" s="25" t="inlineStr">
        <is>
          <t>Δ Vol PCR (Index)</t>
        </is>
      </c>
      <c r="B21" s="16">
        <f>IFERROR('Raw TV Data'!H7/'Raw TV Data'!G7,0)-IFERROR('Raw TV Data'!H3/'Raw TV Data'!G3,0)</f>
        <v/>
      </c>
      <c r="C21" s="16">
        <f>IFERROR('Raw TV Data'!H8/'Raw TV Data'!G8,0)-IFERROR('Raw TV Data'!H4/'Raw TV Data'!G4,0)</f>
        <v/>
      </c>
      <c r="D21" s="16">
        <f>IFERROR('Raw TV Data'!H9/'Raw TV Data'!G9,0)-IFERROR('Raw TV Data'!H5/'Raw TV Data'!G5,0)</f>
        <v/>
      </c>
      <c r="E21" s="16">
        <f>IFERROR('Raw TV Data'!H10/'Raw TV Data'!G10,0)-IFERROR('Raw TV Data'!H6/'Raw TV Data'!G6,0)</f>
        <v/>
      </c>
      <c r="F21" s="27" t="n"/>
      <c r="G21" s="16">
        <f>IFERROR('Raw TV Data'!H11/'Raw TV Data'!G11,0)-IFERROR('Raw TV Data'!H7/'Raw TV Data'!G7,0)</f>
        <v/>
      </c>
      <c r="H21" s="16">
        <f>IFERROR('Raw TV Data'!H12/'Raw TV Data'!G12,0)-IFERROR('Raw TV Data'!H8/'Raw TV Data'!G8,0)</f>
        <v/>
      </c>
      <c r="I21" s="16">
        <f>IFERROR('Raw TV Data'!H13/'Raw TV Data'!G13,0)-IFERROR('Raw TV Data'!H9/'Raw TV Data'!G9,0)</f>
        <v/>
      </c>
      <c r="J21" s="16">
        <f>IFERROR('Raw TV Data'!H14/'Raw TV Data'!G14,0)-IFERROR('Raw TV Data'!H10/'Raw TV Data'!G10,0)</f>
        <v/>
      </c>
      <c r="K21" s="27" t="n"/>
      <c r="L21" s="16">
        <f>IFERROR('Raw TV Data'!H15/'Raw TV Data'!G15,0)-IFERROR('Raw TV Data'!H11/'Raw TV Data'!G11,0)</f>
        <v/>
      </c>
      <c r="M21" s="16">
        <f>IFERROR('Raw TV Data'!H16/'Raw TV Data'!G16,0)-IFERROR('Raw TV Data'!H12/'Raw TV Data'!G12,0)</f>
        <v/>
      </c>
      <c r="N21" s="16">
        <f>IFERROR('Raw TV Data'!H17/'Raw TV Data'!G17,0)-IFERROR('Raw TV Data'!H13/'Raw TV Data'!G13,0)</f>
        <v/>
      </c>
      <c r="O21" s="16">
        <f>IFERROR('Raw TV Data'!H18/'Raw TV Data'!G18,0)-IFERROR('Raw TV Data'!H14/'Raw TV Data'!G14,0)</f>
        <v/>
      </c>
      <c r="P21" s="27" t="n"/>
      <c r="Q21" s="16">
        <f>IFERROR('Raw TV Data'!H19/'Raw TV Data'!G19,0)-IFERROR('Raw TV Data'!H15/'Raw TV Data'!G15,0)</f>
        <v/>
      </c>
      <c r="R21" s="16">
        <f>IFERROR('Raw TV Data'!H20/'Raw TV Data'!G20,0)-IFERROR('Raw TV Data'!H16/'Raw TV Data'!G16,0)</f>
        <v/>
      </c>
      <c r="S21" s="16">
        <f>IFERROR('Raw TV Data'!H21/'Raw TV Data'!G21,0)-IFERROR('Raw TV Data'!H17/'Raw TV Data'!G17,0)</f>
        <v/>
      </c>
      <c r="T21" s="16">
        <f>IFERROR('Raw TV Data'!H22/'Raw TV Data'!G22,0)-IFERROR('Raw TV Data'!H18/'Raw TV Data'!G18,0)</f>
        <v/>
      </c>
      <c r="U21" s="27" t="n"/>
    </row>
    <row r="22" ht="14" customHeight="1">
      <c r="A22" s="25" t="inlineStr">
        <is>
          <t>Δ Total Buy Vol</t>
        </is>
      </c>
      <c r="B22" s="28">
        <f>'Raw TV Data'!O7-'Raw TV Data'!O3</f>
        <v/>
      </c>
      <c r="C22" s="28">
        <f>'Raw TV Data'!O8-'Raw TV Data'!O4</f>
        <v/>
      </c>
      <c r="D22" s="28">
        <f>'Raw TV Data'!O9-'Raw TV Data'!O5</f>
        <v/>
      </c>
      <c r="E22" s="28">
        <f>'Raw TV Data'!O10-'Raw TV Data'!O6</f>
        <v/>
      </c>
      <c r="F22" s="26" t="n"/>
      <c r="G22" s="28">
        <f>'Raw TV Data'!O11-'Raw TV Data'!O7</f>
        <v/>
      </c>
      <c r="H22" s="28">
        <f>'Raw TV Data'!O12-'Raw TV Data'!O8</f>
        <v/>
      </c>
      <c r="I22" s="28">
        <f>'Raw TV Data'!O13-'Raw TV Data'!O9</f>
        <v/>
      </c>
      <c r="J22" s="28">
        <f>'Raw TV Data'!O14-'Raw TV Data'!O10</f>
        <v/>
      </c>
      <c r="K22" s="26" t="n"/>
      <c r="L22" s="28">
        <f>'Raw TV Data'!O15-'Raw TV Data'!O11</f>
        <v/>
      </c>
      <c r="M22" s="28">
        <f>'Raw TV Data'!O16-'Raw TV Data'!O12</f>
        <v/>
      </c>
      <c r="N22" s="28">
        <f>'Raw TV Data'!O17-'Raw TV Data'!O13</f>
        <v/>
      </c>
      <c r="O22" s="28">
        <f>'Raw TV Data'!O18-'Raw TV Data'!O14</f>
        <v/>
      </c>
      <c r="P22" s="26" t="n"/>
      <c r="Q22" s="28">
        <f>'Raw TV Data'!O19-'Raw TV Data'!O15</f>
        <v/>
      </c>
      <c r="R22" s="28">
        <f>'Raw TV Data'!O20-'Raw TV Data'!O16</f>
        <v/>
      </c>
      <c r="S22" s="28">
        <f>'Raw TV Data'!O21-'Raw TV Data'!O17</f>
        <v/>
      </c>
      <c r="T22" s="28">
        <f>'Raw TV Data'!O22-'Raw TV Data'!O18</f>
        <v/>
      </c>
      <c r="U22" s="26" t="n"/>
    </row>
  </sheetData>
  <mergeCells count="7">
    <mergeCell ref="A4:U4"/>
    <mergeCell ref="L2:O2"/>
    <mergeCell ref="G2:J2"/>
    <mergeCell ref="B2:E2"/>
    <mergeCell ref="Q2:T2"/>
    <mergeCell ref="A1:U1"/>
    <mergeCell ref="A17:U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7" customWidth="1" min="12" max="12"/>
    <col width="2" customWidth="1" min="13" max="13"/>
  </cols>
  <sheetData>
    <row r="1" ht="22" customHeight="1">
      <c r="A1" s="1" t="inlineStr">
        <is>
          <t>NSE FAO — Option Chain View (Strike-wise, All Dates)</t>
        </is>
      </c>
    </row>
    <row r="2" ht="16" customHeight="1">
      <c r="A2" s="19" t="inlineStr">
        <is>
          <t>Strike</t>
        </is>
      </c>
      <c r="B2" s="19" t="inlineStr">
        <is>
          <t>Jul 06 2026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</row>
    <row r="3" ht="14" customHeight="1">
      <c r="A3" s="37" t="inlineStr"/>
      <c r="B3" s="8" t="inlineStr">
        <is>
          <t>← CALLS</t>
        </is>
      </c>
      <c r="C3" s="9" t="n"/>
      <c r="D3" s="9" t="n"/>
      <c r="E3" s="9" t="n"/>
      <c r="F3" s="9" t="n"/>
      <c r="G3" s="10" t="inlineStr">
        <is>
          <t>PUTS →</t>
        </is>
      </c>
      <c r="H3" s="11" t="n"/>
      <c r="I3" s="11" t="n"/>
      <c r="J3" s="11" t="n"/>
      <c r="K3" s="11" t="n"/>
      <c r="L3" s="38" t="inlineStr">
        <is>
          <t>PCR</t>
        </is>
      </c>
    </row>
    <row r="4" ht="28" customHeight="1">
      <c r="A4" s="39" t="inlineStr">
        <is>
          <t>Strike</t>
        </is>
      </c>
      <c r="B4" s="12" t="inlineStr">
        <is>
          <t>Call OI</t>
        </is>
      </c>
      <c r="C4" s="12" t="inlineStr">
        <is>
          <t>Call ΔOI</t>
        </is>
      </c>
      <c r="D4" s="12" t="inlineStr">
        <is>
          <t>Call Vol</t>
        </is>
      </c>
      <c r="E4" s="12" t="inlineStr">
        <is>
          <t>Call IV</t>
        </is>
      </c>
      <c r="F4" s="12" t="inlineStr">
        <is>
          <t>Call LTP</t>
        </is>
      </c>
      <c r="G4" s="13" t="inlineStr">
        <is>
          <t>Put OI</t>
        </is>
      </c>
      <c r="H4" s="13" t="inlineStr">
        <is>
          <t>Put ΔOI</t>
        </is>
      </c>
      <c r="I4" s="13" t="inlineStr">
        <is>
          <t>Put Vol</t>
        </is>
      </c>
      <c r="J4" s="13" t="inlineStr">
        <is>
          <t>Put IV</t>
        </is>
      </c>
      <c r="K4" s="13" t="inlineStr">
        <is>
          <t>Put LTP</t>
        </is>
      </c>
      <c r="L4" s="38" t="inlineStr">
        <is>
          <t>P/C OI</t>
        </is>
      </c>
    </row>
    <row r="5" ht="13" customHeight="1">
      <c r="A5" s="6" t="n">
        <v>21350</v>
      </c>
      <c r="B5" s="40" t="n">
        <v>2</v>
      </c>
      <c r="C5" s="40" t="n">
        <v>0</v>
      </c>
      <c r="D5" s="40" t="n">
        <v>0</v>
      </c>
      <c r="E5" s="41" t="n"/>
      <c r="F5" s="41" t="n">
        <v>2825</v>
      </c>
      <c r="G5" s="42" t="n">
        <v>24451</v>
      </c>
      <c r="H5" s="42" t="n">
        <v>-5771</v>
      </c>
      <c r="I5" s="42" t="n">
        <v>47317</v>
      </c>
      <c r="J5" s="43" t="n">
        <v>87.03</v>
      </c>
      <c r="K5" s="43" t="n">
        <v>0.45</v>
      </c>
      <c r="L5" s="44" t="n">
        <v>12225.5</v>
      </c>
    </row>
    <row r="6" ht="13" customHeight="1">
      <c r="A6" s="4" t="n">
        <v>21400</v>
      </c>
      <c r="B6" s="40" t="n">
        <v>0</v>
      </c>
      <c r="C6" s="40" t="n">
        <v>0</v>
      </c>
      <c r="D6" s="40" t="n">
        <v>0</v>
      </c>
      <c r="E6" s="41" t="n"/>
      <c r="F6" s="41" t="n"/>
      <c r="G6" s="42" t="n">
        <v>14219</v>
      </c>
      <c r="H6" s="42" t="n">
        <v>-1535</v>
      </c>
      <c r="I6" s="42" t="n">
        <v>39816</v>
      </c>
      <c r="J6" s="43" t="n">
        <v>81.48999999999999</v>
      </c>
      <c r="K6" s="43" t="n">
        <v>0.25</v>
      </c>
      <c r="L6" s="44" t="n"/>
    </row>
    <row r="7" ht="13" customHeight="1">
      <c r="A7" s="6" t="n">
        <v>21450</v>
      </c>
      <c r="B7" s="40" t="n">
        <v>0</v>
      </c>
      <c r="C7" s="40" t="n">
        <v>0</v>
      </c>
      <c r="D7" s="40" t="n">
        <v>0</v>
      </c>
      <c r="E7" s="41" t="n"/>
      <c r="F7" s="41" t="n"/>
      <c r="G7" s="42" t="n">
        <v>745</v>
      </c>
      <c r="H7" s="42" t="n">
        <v>-124</v>
      </c>
      <c r="I7" s="42" t="n">
        <v>7664</v>
      </c>
      <c r="J7" s="43" t="n">
        <v>81.38</v>
      </c>
      <c r="K7" s="43" t="n">
        <v>0.3</v>
      </c>
      <c r="L7" s="44" t="n"/>
    </row>
    <row r="8" ht="13" customHeight="1">
      <c r="A8" s="4" t="n">
        <v>21500</v>
      </c>
      <c r="B8" s="40" t="n">
        <v>21</v>
      </c>
      <c r="C8" s="40" t="n">
        <v>0</v>
      </c>
      <c r="D8" s="40" t="n">
        <v>0</v>
      </c>
      <c r="E8" s="41" t="n">
        <v>63.34</v>
      </c>
      <c r="F8" s="41" t="n">
        <v>2483.7</v>
      </c>
      <c r="G8" s="42" t="n">
        <v>19760</v>
      </c>
      <c r="H8" s="42" t="n">
        <v>-10335</v>
      </c>
      <c r="I8" s="42" t="n">
        <v>69405</v>
      </c>
      <c r="J8" s="43" t="n">
        <v>78.84</v>
      </c>
      <c r="K8" s="43" t="n">
        <v>0.25</v>
      </c>
      <c r="L8" s="44" t="n">
        <v>940.95</v>
      </c>
    </row>
    <row r="9" ht="13" customHeight="1">
      <c r="A9" s="6" t="n">
        <v>21550</v>
      </c>
      <c r="B9" s="40" t="n">
        <v>0</v>
      </c>
      <c r="C9" s="40" t="n">
        <v>0</v>
      </c>
      <c r="D9" s="40" t="n">
        <v>0</v>
      </c>
      <c r="E9" s="41" t="n"/>
      <c r="F9" s="41" t="n"/>
      <c r="G9" s="42" t="n">
        <v>926</v>
      </c>
      <c r="H9" s="42" t="n">
        <v>-103</v>
      </c>
      <c r="I9" s="42" t="n">
        <v>5444</v>
      </c>
      <c r="J9" s="43" t="n">
        <v>77.52</v>
      </c>
      <c r="K9" s="43" t="n">
        <v>0.25</v>
      </c>
      <c r="L9" s="44" t="n"/>
    </row>
    <row r="10" ht="13" customHeight="1">
      <c r="A10" s="4" t="n">
        <v>21600</v>
      </c>
      <c r="B10" s="40" t="n">
        <v>0</v>
      </c>
      <c r="C10" s="40" t="n">
        <v>0</v>
      </c>
      <c r="D10" s="40" t="n">
        <v>0</v>
      </c>
      <c r="E10" s="41" t="n"/>
      <c r="F10" s="41" t="n"/>
      <c r="G10" s="42" t="n">
        <v>3143</v>
      </c>
      <c r="H10" s="42" t="n">
        <v>92</v>
      </c>
      <c r="I10" s="42" t="n">
        <v>15722</v>
      </c>
      <c r="J10" s="43" t="n">
        <v>77.36</v>
      </c>
      <c r="K10" s="43" t="n">
        <v>0.3</v>
      </c>
      <c r="L10" s="44" t="n"/>
    </row>
    <row r="11" ht="13" customHeight="1">
      <c r="A11" s="6" t="n">
        <v>21650</v>
      </c>
      <c r="B11" s="40" t="n">
        <v>0</v>
      </c>
      <c r="C11" s="40" t="n">
        <v>0</v>
      </c>
      <c r="D11" s="40" t="n">
        <v>0</v>
      </c>
      <c r="E11" s="41" t="n"/>
      <c r="F11" s="41" t="n"/>
      <c r="G11" s="42" t="n">
        <v>289</v>
      </c>
      <c r="H11" s="42" t="n">
        <v>-465</v>
      </c>
      <c r="I11" s="42" t="n">
        <v>3478</v>
      </c>
      <c r="J11" s="43" t="n">
        <v>74.88</v>
      </c>
      <c r="K11" s="43" t="n">
        <v>0.25</v>
      </c>
      <c r="L11" s="44" t="n"/>
    </row>
    <row r="12" ht="13" customHeight="1">
      <c r="A12" s="4" t="n">
        <v>21700</v>
      </c>
      <c r="B12" s="40" t="n">
        <v>0</v>
      </c>
      <c r="C12" s="40" t="n">
        <v>0</v>
      </c>
      <c r="D12" s="40" t="n">
        <v>0</v>
      </c>
      <c r="E12" s="41" t="n"/>
      <c r="F12" s="41" t="n"/>
      <c r="G12" s="42" t="n">
        <v>1554</v>
      </c>
      <c r="H12" s="42" t="n">
        <v>-293</v>
      </c>
      <c r="I12" s="42" t="n">
        <v>10061</v>
      </c>
      <c r="J12" s="43" t="n">
        <v>73.56999999999999</v>
      </c>
      <c r="K12" s="43" t="n">
        <v>0.25</v>
      </c>
      <c r="L12" s="44" t="n"/>
    </row>
    <row r="13" ht="13" customHeight="1">
      <c r="A13" s="6" t="n">
        <v>21750</v>
      </c>
      <c r="B13" s="40" t="n">
        <v>0</v>
      </c>
      <c r="C13" s="40" t="n">
        <v>0</v>
      </c>
      <c r="D13" s="40" t="n">
        <v>0</v>
      </c>
      <c r="E13" s="41" t="n"/>
      <c r="F13" s="41" t="n"/>
      <c r="G13" s="42" t="n">
        <v>277</v>
      </c>
      <c r="H13" s="42" t="n">
        <v>-283</v>
      </c>
      <c r="I13" s="42" t="n">
        <v>1710</v>
      </c>
      <c r="J13" s="43" t="n">
        <v>73.36</v>
      </c>
      <c r="K13" s="43" t="n">
        <v>0.3</v>
      </c>
      <c r="L13" s="44" t="n"/>
    </row>
    <row r="14" ht="13" customHeight="1">
      <c r="A14" s="4" t="n">
        <v>21800</v>
      </c>
      <c r="B14" s="40" t="n">
        <v>0</v>
      </c>
      <c r="C14" s="40" t="n">
        <v>0</v>
      </c>
      <c r="D14" s="40" t="n">
        <v>0</v>
      </c>
      <c r="E14" s="41" t="n"/>
      <c r="F14" s="41" t="n"/>
      <c r="G14" s="42" t="n">
        <v>4915</v>
      </c>
      <c r="H14" s="42" t="n">
        <v>-3718</v>
      </c>
      <c r="I14" s="42" t="n">
        <v>27668</v>
      </c>
      <c r="J14" s="43" t="n">
        <v>72.98999999999999</v>
      </c>
      <c r="K14" s="43" t="n">
        <v>0.35</v>
      </c>
      <c r="L14" s="44" t="n"/>
    </row>
    <row r="15" ht="13" customHeight="1">
      <c r="A15" s="6" t="n">
        <v>21850</v>
      </c>
      <c r="B15" s="40" t="n">
        <v>0</v>
      </c>
      <c r="C15" s="40" t="n">
        <v>0</v>
      </c>
      <c r="D15" s="40" t="n">
        <v>0</v>
      </c>
      <c r="E15" s="41" t="n"/>
      <c r="F15" s="41" t="n"/>
      <c r="G15" s="42" t="n">
        <v>309</v>
      </c>
      <c r="H15" s="42" t="n">
        <v>-536</v>
      </c>
      <c r="I15" s="42" t="n">
        <v>2547</v>
      </c>
      <c r="J15" s="43" t="n">
        <v>72.48999999999999</v>
      </c>
      <c r="K15" s="43" t="n">
        <v>0.4</v>
      </c>
      <c r="L15" s="44" t="n"/>
    </row>
    <row r="16" ht="13" customHeight="1">
      <c r="A16" s="4" t="n">
        <v>21900</v>
      </c>
      <c r="B16" s="40" t="n">
        <v>0</v>
      </c>
      <c r="C16" s="40" t="n">
        <v>0</v>
      </c>
      <c r="D16" s="40" t="n">
        <v>0</v>
      </c>
      <c r="E16" s="41" t="n"/>
      <c r="F16" s="41" t="n"/>
      <c r="G16" s="42" t="n">
        <v>3617</v>
      </c>
      <c r="H16" s="42" t="n">
        <v>-1233</v>
      </c>
      <c r="I16" s="42" t="n">
        <v>21623</v>
      </c>
      <c r="J16" s="43" t="n">
        <v>71.13</v>
      </c>
      <c r="K16" s="43" t="n">
        <v>0.4</v>
      </c>
      <c r="L16" s="44" t="n"/>
    </row>
    <row r="17" ht="13" customHeight="1">
      <c r="A17" s="6" t="n">
        <v>21950</v>
      </c>
      <c r="B17" s="40" t="n">
        <v>0</v>
      </c>
      <c r="C17" s="40" t="n">
        <v>0</v>
      </c>
      <c r="D17" s="40" t="n">
        <v>0</v>
      </c>
      <c r="E17" s="41" t="n"/>
      <c r="F17" s="41" t="n"/>
      <c r="G17" s="42" t="n">
        <v>1171</v>
      </c>
      <c r="H17" s="42" t="n">
        <v>-2323</v>
      </c>
      <c r="I17" s="42" t="n">
        <v>12713</v>
      </c>
      <c r="J17" s="43" t="n">
        <v>68.04000000000001</v>
      </c>
      <c r="K17" s="43" t="n">
        <v>0.3</v>
      </c>
      <c r="L17" s="44" t="n"/>
    </row>
    <row r="18" ht="13" customHeight="1">
      <c r="A18" s="4" t="n">
        <v>22000</v>
      </c>
      <c r="B18" s="40" t="n">
        <v>72</v>
      </c>
      <c r="C18" s="40" t="n">
        <v>-8</v>
      </c>
      <c r="D18" s="40" t="n">
        <v>16</v>
      </c>
      <c r="E18" s="41" t="n"/>
      <c r="F18" s="41" t="n">
        <v>2390</v>
      </c>
      <c r="G18" s="42" t="n">
        <v>32228</v>
      </c>
      <c r="H18" s="42" t="n">
        <v>-33807</v>
      </c>
      <c r="I18" s="42" t="n">
        <v>175475</v>
      </c>
      <c r="J18" s="43" t="n">
        <v>68.42</v>
      </c>
      <c r="K18" s="43" t="n">
        <v>0.4</v>
      </c>
      <c r="L18" s="44" t="n">
        <v>447.61</v>
      </c>
    </row>
    <row r="19" ht="13" customHeight="1">
      <c r="A19" s="6" t="n">
        <v>22050</v>
      </c>
      <c r="B19" s="40" t="n">
        <v>0</v>
      </c>
      <c r="C19" s="40" t="n">
        <v>0</v>
      </c>
      <c r="D19" s="40" t="n">
        <v>0</v>
      </c>
      <c r="E19" s="41" t="n"/>
      <c r="F19" s="41" t="n"/>
      <c r="G19" s="42" t="n">
        <v>1445</v>
      </c>
      <c r="H19" s="42" t="n">
        <v>-1920</v>
      </c>
      <c r="I19" s="42" t="n">
        <v>22239</v>
      </c>
      <c r="J19" s="43" t="n">
        <v>66.27</v>
      </c>
      <c r="K19" s="43" t="n">
        <v>0.35</v>
      </c>
      <c r="L19" s="44" t="n"/>
    </row>
    <row r="20" ht="13" customHeight="1">
      <c r="A20" s="4" t="n">
        <v>22100</v>
      </c>
      <c r="B20" s="40" t="n">
        <v>0</v>
      </c>
      <c r="C20" s="40" t="n">
        <v>0</v>
      </c>
      <c r="D20" s="40" t="n">
        <v>0</v>
      </c>
      <c r="E20" s="41" t="n"/>
      <c r="F20" s="41" t="n"/>
      <c r="G20" s="42" t="n">
        <v>2278</v>
      </c>
      <c r="H20" s="42" t="n">
        <v>-3793</v>
      </c>
      <c r="I20" s="42" t="n">
        <v>45116</v>
      </c>
      <c r="J20" s="43" t="n">
        <v>65.70999999999999</v>
      </c>
      <c r="K20" s="43" t="n">
        <v>0.4</v>
      </c>
      <c r="L20" s="44" t="n"/>
    </row>
    <row r="21" ht="13" customHeight="1">
      <c r="A21" s="6" t="n">
        <v>22150</v>
      </c>
      <c r="B21" s="40" t="n">
        <v>0</v>
      </c>
      <c r="C21" s="40" t="n">
        <v>0</v>
      </c>
      <c r="D21" s="40" t="n">
        <v>0</v>
      </c>
      <c r="E21" s="41" t="n"/>
      <c r="F21" s="41" t="n"/>
      <c r="G21" s="42" t="n">
        <v>1239</v>
      </c>
      <c r="H21" s="42" t="n">
        <v>-2546</v>
      </c>
      <c r="I21" s="42" t="n">
        <v>26937</v>
      </c>
      <c r="J21" s="43" t="n">
        <v>64.36</v>
      </c>
      <c r="K21" s="43" t="n">
        <v>0.4</v>
      </c>
      <c r="L21" s="44" t="n"/>
    </row>
    <row r="22" ht="13" customHeight="1">
      <c r="A22" s="4" t="n">
        <v>22200</v>
      </c>
      <c r="B22" s="40" t="n">
        <v>1</v>
      </c>
      <c r="C22" s="40" t="n">
        <v>0</v>
      </c>
      <c r="D22" s="40" t="n">
        <v>0</v>
      </c>
      <c r="E22" s="41" t="n">
        <v>131.65</v>
      </c>
      <c r="F22" s="41" t="n">
        <v>2150</v>
      </c>
      <c r="G22" s="42" t="n">
        <v>4203</v>
      </c>
      <c r="H22" s="42" t="n">
        <v>-6432</v>
      </c>
      <c r="I22" s="42" t="n">
        <v>30690</v>
      </c>
      <c r="J22" s="43" t="n">
        <v>63.01</v>
      </c>
      <c r="K22" s="43" t="n">
        <v>0.4</v>
      </c>
      <c r="L22" s="44" t="n">
        <v>4203</v>
      </c>
    </row>
    <row r="23" ht="13" customHeight="1">
      <c r="A23" s="6" t="n">
        <v>22250</v>
      </c>
      <c r="B23" s="40" t="n">
        <v>0</v>
      </c>
      <c r="C23" s="40" t="n">
        <v>0</v>
      </c>
      <c r="D23" s="40" t="n">
        <v>0</v>
      </c>
      <c r="E23" s="41" t="n"/>
      <c r="F23" s="41" t="n"/>
      <c r="G23" s="42" t="n">
        <v>2016</v>
      </c>
      <c r="H23" s="42" t="n">
        <v>-2074</v>
      </c>
      <c r="I23" s="42" t="n">
        <v>29620</v>
      </c>
      <c r="J23" s="43" t="n">
        <v>60.92</v>
      </c>
      <c r="K23" s="43" t="n">
        <v>0.35</v>
      </c>
      <c r="L23" s="44" t="n"/>
    </row>
    <row r="24" ht="13" customHeight="1">
      <c r="A24" s="4" t="n">
        <v>22300</v>
      </c>
      <c r="B24" s="40" t="n">
        <v>1</v>
      </c>
      <c r="C24" s="40" t="n">
        <v>0</v>
      </c>
      <c r="D24" s="40" t="n">
        <v>0</v>
      </c>
      <c r="E24" s="41" t="n"/>
      <c r="F24" s="41" t="n">
        <v>1592.85</v>
      </c>
      <c r="G24" s="42" t="n">
        <v>5788</v>
      </c>
      <c r="H24" s="42" t="n">
        <v>-8133</v>
      </c>
      <c r="I24" s="42" t="n">
        <v>46158</v>
      </c>
      <c r="J24" s="43" t="n">
        <v>60.96</v>
      </c>
      <c r="K24" s="43" t="n">
        <v>0.45</v>
      </c>
      <c r="L24" s="44" t="n">
        <v>5788</v>
      </c>
    </row>
    <row r="25" ht="13" customHeight="1">
      <c r="A25" s="6" t="n">
        <v>22350</v>
      </c>
      <c r="B25" s="40" t="n">
        <v>0</v>
      </c>
      <c r="C25" s="40" t="n">
        <v>0</v>
      </c>
      <c r="D25" s="40" t="n">
        <v>0</v>
      </c>
      <c r="E25" s="41" t="n"/>
      <c r="F25" s="41" t="n"/>
      <c r="G25" s="42" t="n">
        <v>1548</v>
      </c>
      <c r="H25" s="42" t="n">
        <v>-769</v>
      </c>
      <c r="I25" s="42" t="n">
        <v>16805</v>
      </c>
      <c r="J25" s="43" t="n">
        <v>58.25</v>
      </c>
      <c r="K25" s="43" t="n">
        <v>0.35</v>
      </c>
      <c r="L25" s="44" t="n"/>
    </row>
    <row r="26" ht="13" customHeight="1">
      <c r="A26" s="4" t="n">
        <v>22400</v>
      </c>
      <c r="B26" s="40" t="n">
        <v>0</v>
      </c>
      <c r="C26" s="40" t="n">
        <v>0</v>
      </c>
      <c r="D26" s="40" t="n">
        <v>0</v>
      </c>
      <c r="E26" s="41" t="n"/>
      <c r="F26" s="41" t="n"/>
      <c r="G26" s="42" t="n">
        <v>5939</v>
      </c>
      <c r="H26" s="42" t="n">
        <v>-3664</v>
      </c>
      <c r="I26" s="42" t="n">
        <v>41934</v>
      </c>
      <c r="J26" s="43" t="n">
        <v>59.36</v>
      </c>
      <c r="K26" s="43" t="n">
        <v>0.55</v>
      </c>
      <c r="L26" s="44" t="n"/>
    </row>
    <row r="27" ht="13" customHeight="1">
      <c r="A27" s="6" t="n">
        <v>22450</v>
      </c>
      <c r="B27" s="40" t="n">
        <v>1</v>
      </c>
      <c r="C27" s="40" t="n">
        <v>0</v>
      </c>
      <c r="D27" s="40" t="n">
        <v>0</v>
      </c>
      <c r="E27" s="41" t="n">
        <v>59.88</v>
      </c>
      <c r="F27" s="41" t="n">
        <v>1728.4</v>
      </c>
      <c r="G27" s="42" t="n">
        <v>1305</v>
      </c>
      <c r="H27" s="42" t="n">
        <v>-1425</v>
      </c>
      <c r="I27" s="42" t="n">
        <v>21183</v>
      </c>
      <c r="J27" s="43" t="n">
        <v>56.88</v>
      </c>
      <c r="K27" s="43" t="n">
        <v>0.45</v>
      </c>
      <c r="L27" s="44" t="n">
        <v>1305</v>
      </c>
    </row>
    <row r="28" ht="13" customHeight="1">
      <c r="A28" s="4" t="n">
        <v>22500</v>
      </c>
      <c r="B28" s="40" t="n">
        <v>139</v>
      </c>
      <c r="C28" s="40" t="n">
        <v>-100</v>
      </c>
      <c r="D28" s="40" t="n">
        <v>204</v>
      </c>
      <c r="E28" s="41" t="n"/>
      <c r="F28" s="41" t="n">
        <v>1916.15</v>
      </c>
      <c r="G28" s="42" t="n">
        <v>33462</v>
      </c>
      <c r="H28" s="42" t="n">
        <v>-32192</v>
      </c>
      <c r="I28" s="42" t="n">
        <v>218655</v>
      </c>
      <c r="J28" s="43" t="n">
        <v>56.59</v>
      </c>
      <c r="K28" s="43" t="n">
        <v>0.55</v>
      </c>
      <c r="L28" s="44" t="n">
        <v>240.73</v>
      </c>
    </row>
    <row r="29" ht="13" customHeight="1">
      <c r="A29" s="6" t="n">
        <v>22550</v>
      </c>
      <c r="B29" s="40" t="n">
        <v>0</v>
      </c>
      <c r="C29" s="40" t="n">
        <v>0</v>
      </c>
      <c r="D29" s="40" t="n">
        <v>0</v>
      </c>
      <c r="E29" s="41" t="n"/>
      <c r="F29" s="41" t="n"/>
      <c r="G29" s="42" t="n">
        <v>2406</v>
      </c>
      <c r="H29" s="42" t="n">
        <v>-3425</v>
      </c>
      <c r="I29" s="42" t="n">
        <v>28443</v>
      </c>
      <c r="J29" s="43" t="n">
        <v>53.57</v>
      </c>
      <c r="K29" s="43" t="n">
        <v>0.4</v>
      </c>
      <c r="L29" s="44" t="n"/>
    </row>
    <row r="30" ht="13" customHeight="1">
      <c r="A30" s="4" t="n">
        <v>22600</v>
      </c>
      <c r="B30" s="40" t="n">
        <v>1</v>
      </c>
      <c r="C30" s="40" t="n">
        <v>-1</v>
      </c>
      <c r="D30" s="40" t="n">
        <v>1</v>
      </c>
      <c r="E30" s="41" t="n"/>
      <c r="F30" s="41" t="n">
        <v>1826.9</v>
      </c>
      <c r="G30" s="42" t="n">
        <v>11578</v>
      </c>
      <c r="H30" s="42" t="n">
        <v>-8307</v>
      </c>
      <c r="I30" s="42" t="n">
        <v>103616</v>
      </c>
      <c r="J30" s="43" t="n">
        <v>52.22</v>
      </c>
      <c r="K30" s="43" t="n">
        <v>0.4</v>
      </c>
      <c r="L30" s="44" t="n">
        <v>11578</v>
      </c>
    </row>
    <row r="31" ht="13" customHeight="1">
      <c r="A31" s="6" t="n">
        <v>22650</v>
      </c>
      <c r="B31" s="40" t="n">
        <v>1</v>
      </c>
      <c r="C31" s="40" t="n">
        <v>0</v>
      </c>
      <c r="D31" s="40" t="n">
        <v>0</v>
      </c>
      <c r="E31" s="41" t="n">
        <v>87.84999999999999</v>
      </c>
      <c r="F31" s="41" t="n">
        <v>1658</v>
      </c>
      <c r="G31" s="42" t="n">
        <v>5870</v>
      </c>
      <c r="H31" s="42" t="n">
        <v>-3498</v>
      </c>
      <c r="I31" s="42" t="n">
        <v>79142</v>
      </c>
      <c r="J31" s="43" t="n">
        <v>50.88</v>
      </c>
      <c r="K31" s="43" t="n">
        <v>0.4</v>
      </c>
      <c r="L31" s="44" t="n">
        <v>5870</v>
      </c>
    </row>
    <row r="32" ht="13" customHeight="1">
      <c r="A32" s="4" t="n">
        <v>22700</v>
      </c>
      <c r="B32" s="40" t="n">
        <v>18</v>
      </c>
      <c r="C32" s="40" t="n">
        <v>0</v>
      </c>
      <c r="D32" s="40" t="n">
        <v>2</v>
      </c>
      <c r="E32" s="41" t="n"/>
      <c r="F32" s="41" t="n">
        <v>1713</v>
      </c>
      <c r="G32" s="42" t="n">
        <v>10567</v>
      </c>
      <c r="H32" s="42" t="n">
        <v>-3614</v>
      </c>
      <c r="I32" s="42" t="n">
        <v>116942</v>
      </c>
      <c r="J32" s="43" t="n">
        <v>50.08</v>
      </c>
      <c r="K32" s="43" t="n">
        <v>0.45</v>
      </c>
      <c r="L32" s="44" t="n">
        <v>587.0599999999999</v>
      </c>
    </row>
    <row r="33" ht="13" customHeight="1">
      <c r="A33" s="6" t="n">
        <v>22750</v>
      </c>
      <c r="B33" s="40" t="n">
        <v>0</v>
      </c>
      <c r="C33" s="40" t="n">
        <v>0</v>
      </c>
      <c r="D33" s="40" t="n">
        <v>0</v>
      </c>
      <c r="E33" s="41" t="n"/>
      <c r="F33" s="41" t="n"/>
      <c r="G33" s="42" t="n">
        <v>3556</v>
      </c>
      <c r="H33" s="42" t="n">
        <v>-4992</v>
      </c>
      <c r="I33" s="42" t="n">
        <v>50837</v>
      </c>
      <c r="J33" s="43" t="n">
        <v>48.73</v>
      </c>
      <c r="K33" s="43" t="n">
        <v>0.45</v>
      </c>
      <c r="L33" s="44" t="n"/>
    </row>
    <row r="34" ht="13" customHeight="1">
      <c r="A34" s="4" t="n">
        <v>22800</v>
      </c>
      <c r="B34" s="40" t="n">
        <v>49</v>
      </c>
      <c r="C34" s="40" t="n">
        <v>-161</v>
      </c>
      <c r="D34" s="40" t="n">
        <v>216</v>
      </c>
      <c r="E34" s="41" t="n">
        <v>72.36</v>
      </c>
      <c r="F34" s="41" t="n">
        <v>1648.4</v>
      </c>
      <c r="G34" s="42" t="n">
        <v>20325</v>
      </c>
      <c r="H34" s="42" t="n">
        <v>-21074</v>
      </c>
      <c r="I34" s="42" t="n">
        <v>203410</v>
      </c>
      <c r="J34" s="43" t="n">
        <v>49.5</v>
      </c>
      <c r="K34" s="43" t="n">
        <v>0.7</v>
      </c>
      <c r="L34" s="44" t="n">
        <v>414.8</v>
      </c>
    </row>
    <row r="35" ht="13" customHeight="1">
      <c r="A35" s="6" t="n">
        <v>22850</v>
      </c>
      <c r="B35" s="40" t="n">
        <v>14</v>
      </c>
      <c r="C35" s="40" t="n">
        <v>0</v>
      </c>
      <c r="D35" s="40" t="n">
        <v>0</v>
      </c>
      <c r="E35" s="41" t="n"/>
      <c r="F35" s="41" t="n">
        <v>1338.95</v>
      </c>
      <c r="G35" s="42" t="n">
        <v>7881</v>
      </c>
      <c r="H35" s="42" t="n">
        <v>-5765</v>
      </c>
      <c r="I35" s="42" t="n">
        <v>88427</v>
      </c>
      <c r="J35" s="43" t="n">
        <v>48.44</v>
      </c>
      <c r="K35" s="43" t="n">
        <v>0.75</v>
      </c>
      <c r="L35" s="44" t="n">
        <v>562.9299999999999</v>
      </c>
    </row>
    <row r="36" ht="13" customHeight="1">
      <c r="A36" s="4" t="n">
        <v>22900</v>
      </c>
      <c r="B36" s="40" t="n">
        <v>372</v>
      </c>
      <c r="C36" s="40" t="n">
        <v>-277</v>
      </c>
      <c r="D36" s="40" t="n">
        <v>566</v>
      </c>
      <c r="E36" s="41" t="n"/>
      <c r="F36" s="41" t="n">
        <v>1520.5</v>
      </c>
      <c r="G36" s="42" t="n">
        <v>24221</v>
      </c>
      <c r="H36" s="42" t="n">
        <v>-18150</v>
      </c>
      <c r="I36" s="42" t="n">
        <v>194772</v>
      </c>
      <c r="J36" s="43" t="n">
        <v>46.32</v>
      </c>
      <c r="K36" s="43" t="n">
        <v>0.65</v>
      </c>
      <c r="L36" s="44" t="n">
        <v>65.11</v>
      </c>
    </row>
    <row r="37" ht="13" customHeight="1">
      <c r="A37" s="6" t="n">
        <v>22950</v>
      </c>
      <c r="B37" s="40" t="n">
        <v>6</v>
      </c>
      <c r="C37" s="40" t="n">
        <v>0</v>
      </c>
      <c r="D37" s="40" t="n">
        <v>0</v>
      </c>
      <c r="E37" s="41" t="n">
        <v>24.31</v>
      </c>
      <c r="F37" s="41" t="n">
        <v>1254.85</v>
      </c>
      <c r="G37" s="42" t="n">
        <v>9459</v>
      </c>
      <c r="H37" s="42" t="n">
        <v>-4627</v>
      </c>
      <c r="I37" s="42" t="n">
        <v>94495</v>
      </c>
      <c r="J37" s="43" t="n">
        <v>45.6</v>
      </c>
      <c r="K37" s="43" t="n">
        <v>0.75</v>
      </c>
      <c r="L37" s="44" t="n">
        <v>1576.5</v>
      </c>
    </row>
    <row r="38" ht="13" customHeight="1">
      <c r="A38" s="4" t="n">
        <v>23000</v>
      </c>
      <c r="B38" s="40" t="n">
        <v>1546</v>
      </c>
      <c r="C38" s="40" t="n">
        <v>-1181</v>
      </c>
      <c r="D38" s="40" t="n">
        <v>2121</v>
      </c>
      <c r="E38" s="41" t="n"/>
      <c r="F38" s="41" t="n">
        <v>1420.55</v>
      </c>
      <c r="G38" s="42" t="n">
        <v>115208</v>
      </c>
      <c r="H38" s="42" t="n">
        <v>-21581</v>
      </c>
      <c r="I38" s="42" t="n">
        <v>740931</v>
      </c>
      <c r="J38" s="43" t="n">
        <v>44.48</v>
      </c>
      <c r="K38" s="43" t="n">
        <v>0.8</v>
      </c>
      <c r="L38" s="44" t="n">
        <v>74.52</v>
      </c>
    </row>
    <row r="39" ht="13" customHeight="1">
      <c r="A39" s="6" t="n">
        <v>23050</v>
      </c>
      <c r="B39" s="40" t="n">
        <v>10</v>
      </c>
      <c r="C39" s="40" t="n">
        <v>0</v>
      </c>
      <c r="D39" s="40" t="n">
        <v>1</v>
      </c>
      <c r="E39" s="41" t="n"/>
      <c r="F39" s="41" t="n">
        <v>1291</v>
      </c>
      <c r="G39" s="42" t="n">
        <v>8262</v>
      </c>
      <c r="H39" s="42" t="n">
        <v>-400</v>
      </c>
      <c r="I39" s="42" t="n">
        <v>98294</v>
      </c>
      <c r="J39" s="43" t="n">
        <v>43.05</v>
      </c>
      <c r="K39" s="43" t="n">
        <v>0.8</v>
      </c>
      <c r="L39" s="44" t="n">
        <v>826.2</v>
      </c>
    </row>
    <row r="40" ht="13" customHeight="1">
      <c r="A40" s="4" t="n">
        <v>23100</v>
      </c>
      <c r="B40" s="40" t="n">
        <v>208</v>
      </c>
      <c r="C40" s="40" t="n">
        <v>-206</v>
      </c>
      <c r="D40" s="40" t="n">
        <v>390</v>
      </c>
      <c r="E40" s="41" t="n"/>
      <c r="F40" s="41" t="n">
        <v>1319.8</v>
      </c>
      <c r="G40" s="42" t="n">
        <v>30311</v>
      </c>
      <c r="H40" s="42" t="n">
        <v>-14486</v>
      </c>
      <c r="I40" s="42" t="n">
        <v>337349</v>
      </c>
      <c r="J40" s="43" t="n">
        <v>42.16</v>
      </c>
      <c r="K40" s="43" t="n">
        <v>0.9</v>
      </c>
      <c r="L40" s="44" t="n">
        <v>145.73</v>
      </c>
    </row>
    <row r="41" ht="13" customHeight="1">
      <c r="A41" s="6" t="n">
        <v>23150</v>
      </c>
      <c r="B41" s="40" t="n">
        <v>40</v>
      </c>
      <c r="C41" s="40" t="n">
        <v>0</v>
      </c>
      <c r="D41" s="40" t="n">
        <v>1</v>
      </c>
      <c r="E41" s="41" t="n"/>
      <c r="F41" s="41" t="n">
        <v>1250.25</v>
      </c>
      <c r="G41" s="42" t="n">
        <v>16682</v>
      </c>
      <c r="H41" s="42" t="n">
        <v>2686</v>
      </c>
      <c r="I41" s="42" t="n">
        <v>161211</v>
      </c>
      <c r="J41" s="43" t="n">
        <v>40.46</v>
      </c>
      <c r="K41" s="43" t="n">
        <v>0.85</v>
      </c>
      <c r="L41" s="44" t="n">
        <v>417.05</v>
      </c>
    </row>
    <row r="42" ht="13" customHeight="1">
      <c r="A42" s="4" t="n">
        <v>23200</v>
      </c>
      <c r="B42" s="40" t="n">
        <v>738</v>
      </c>
      <c r="C42" s="40" t="n">
        <v>-20</v>
      </c>
      <c r="D42" s="40" t="n">
        <v>232</v>
      </c>
      <c r="E42" s="41" t="n"/>
      <c r="F42" s="41" t="n">
        <v>1221</v>
      </c>
      <c r="G42" s="42" t="n">
        <v>67336</v>
      </c>
      <c r="H42" s="42" t="n">
        <v>-10270</v>
      </c>
      <c r="I42" s="42" t="n">
        <v>565365</v>
      </c>
      <c r="J42" s="43" t="n">
        <v>39.96</v>
      </c>
      <c r="K42" s="43" t="n">
        <v>1.05</v>
      </c>
      <c r="L42" s="44" t="n">
        <v>91.23999999999999</v>
      </c>
    </row>
    <row r="43" ht="13" customHeight="1">
      <c r="A43" s="6" t="n">
        <v>23250</v>
      </c>
      <c r="B43" s="40" t="n">
        <v>112</v>
      </c>
      <c r="C43" s="40" t="n">
        <v>3</v>
      </c>
      <c r="D43" s="40" t="n">
        <v>25</v>
      </c>
      <c r="E43" s="41" t="n"/>
      <c r="F43" s="41" t="n">
        <v>1173</v>
      </c>
      <c r="G43" s="42" t="n">
        <v>22230</v>
      </c>
      <c r="H43" s="42" t="n">
        <v>845</v>
      </c>
      <c r="I43" s="42" t="n">
        <v>217691</v>
      </c>
      <c r="J43" s="43" t="n">
        <v>38.27</v>
      </c>
      <c r="K43" s="43" t="n">
        <v>1</v>
      </c>
      <c r="L43" s="44" t="n">
        <v>198.48</v>
      </c>
    </row>
    <row r="44" ht="13" customHeight="1">
      <c r="A44" s="4" t="n">
        <v>23300</v>
      </c>
      <c r="B44" s="40" t="n">
        <v>800</v>
      </c>
      <c r="C44" s="40" t="n">
        <v>-31</v>
      </c>
      <c r="D44" s="40" t="n">
        <v>337</v>
      </c>
      <c r="E44" s="41" t="n"/>
      <c r="F44" s="41" t="n">
        <v>1120.15</v>
      </c>
      <c r="G44" s="42" t="n">
        <v>78509</v>
      </c>
      <c r="H44" s="42" t="n">
        <v>-8270</v>
      </c>
      <c r="I44" s="42" t="n">
        <v>751723</v>
      </c>
      <c r="J44" s="43" t="n">
        <v>37.79</v>
      </c>
      <c r="K44" s="43" t="n">
        <v>1.25</v>
      </c>
      <c r="L44" s="44" t="n">
        <v>98.14</v>
      </c>
    </row>
    <row r="45" ht="13" customHeight="1">
      <c r="A45" s="6" t="n">
        <v>23350</v>
      </c>
      <c r="B45" s="40" t="n">
        <v>484</v>
      </c>
      <c r="C45" s="40" t="n">
        <v>0</v>
      </c>
      <c r="D45" s="40" t="n">
        <v>4</v>
      </c>
      <c r="E45" s="41" t="n"/>
      <c r="F45" s="41" t="n">
        <v>1045.1</v>
      </c>
      <c r="G45" s="42" t="n">
        <v>15517</v>
      </c>
      <c r="H45" s="42" t="n">
        <v>-9447</v>
      </c>
      <c r="I45" s="42" t="n">
        <v>257673</v>
      </c>
      <c r="J45" s="43" t="n">
        <v>36.63</v>
      </c>
      <c r="K45" s="43" t="n">
        <v>1.35</v>
      </c>
      <c r="L45" s="44" t="n">
        <v>32.06</v>
      </c>
    </row>
    <row r="46" ht="13" customHeight="1">
      <c r="A46" s="4" t="n">
        <v>23400</v>
      </c>
      <c r="B46" s="40" t="n">
        <v>828</v>
      </c>
      <c r="C46" s="40" t="n">
        <v>-904</v>
      </c>
      <c r="D46" s="40" t="n">
        <v>1872</v>
      </c>
      <c r="E46" s="41" t="n"/>
      <c r="F46" s="41" t="n">
        <v>1018.1</v>
      </c>
      <c r="G46" s="42" t="n">
        <v>56343</v>
      </c>
      <c r="H46" s="42" t="n">
        <v>-5189</v>
      </c>
      <c r="I46" s="42" t="n">
        <v>723844</v>
      </c>
      <c r="J46" s="43" t="n">
        <v>34.61</v>
      </c>
      <c r="K46" s="43" t="n">
        <v>1.2</v>
      </c>
      <c r="L46" s="44" t="n">
        <v>68.05</v>
      </c>
    </row>
    <row r="47" ht="13" customHeight="1">
      <c r="A47" s="6" t="n">
        <v>23450</v>
      </c>
      <c r="B47" s="40" t="n">
        <v>358</v>
      </c>
      <c r="C47" s="40" t="n">
        <v>-1</v>
      </c>
      <c r="D47" s="40" t="n">
        <v>162</v>
      </c>
      <c r="E47" s="41" t="n"/>
      <c r="F47" s="41" t="n">
        <v>969.6</v>
      </c>
      <c r="G47" s="42" t="n">
        <v>18106</v>
      </c>
      <c r="H47" s="42" t="n">
        <v>-2728</v>
      </c>
      <c r="I47" s="42" t="n">
        <v>353550</v>
      </c>
      <c r="J47" s="43" t="n">
        <v>32.93</v>
      </c>
      <c r="K47" s="43" t="n">
        <v>1.15</v>
      </c>
      <c r="L47" s="44" t="n">
        <v>50.58</v>
      </c>
    </row>
    <row r="48" ht="13" customHeight="1">
      <c r="A48" s="4" t="n">
        <v>23500</v>
      </c>
      <c r="B48" s="40" t="n">
        <v>3350</v>
      </c>
      <c r="C48" s="40" t="n">
        <v>-1411</v>
      </c>
      <c r="D48" s="40" t="n">
        <v>3440</v>
      </c>
      <c r="E48" s="41" t="n"/>
      <c r="F48" s="41" t="n">
        <v>919.5</v>
      </c>
      <c r="G48" s="42" t="n">
        <v>151820</v>
      </c>
      <c r="H48" s="42" t="n">
        <v>8106</v>
      </c>
      <c r="I48" s="42" t="n">
        <v>1567079</v>
      </c>
      <c r="J48" s="43" t="n">
        <v>32.36</v>
      </c>
      <c r="K48" s="43" t="n">
        <v>1.45</v>
      </c>
      <c r="L48" s="44" t="n">
        <v>45.32</v>
      </c>
    </row>
    <row r="49" ht="13" customHeight="1">
      <c r="A49" s="6" t="n">
        <v>23550</v>
      </c>
      <c r="B49" s="40" t="n">
        <v>414</v>
      </c>
      <c r="C49" s="40" t="n">
        <v>28</v>
      </c>
      <c r="D49" s="40" t="n">
        <v>195</v>
      </c>
      <c r="E49" s="41" t="n"/>
      <c r="F49" s="41" t="n">
        <v>869.75</v>
      </c>
      <c r="G49" s="42" t="n">
        <v>24386</v>
      </c>
      <c r="H49" s="42" t="n">
        <v>-6092</v>
      </c>
      <c r="I49" s="42" t="n">
        <v>602421</v>
      </c>
      <c r="J49" s="43" t="n">
        <v>30.96</v>
      </c>
      <c r="K49" s="43" t="n">
        <v>1.5</v>
      </c>
      <c r="L49" s="44" t="n">
        <v>58.9</v>
      </c>
    </row>
    <row r="50" ht="13" customHeight="1">
      <c r="A50" s="4" t="n">
        <v>23600</v>
      </c>
      <c r="B50" s="40" t="n">
        <v>1383</v>
      </c>
      <c r="C50" s="40" t="n">
        <v>-485</v>
      </c>
      <c r="D50" s="40" t="n">
        <v>1603</v>
      </c>
      <c r="E50" s="41" t="n"/>
      <c r="F50" s="41" t="n">
        <v>818.45</v>
      </c>
      <c r="G50" s="42" t="n">
        <v>97633</v>
      </c>
      <c r="H50" s="42" t="n">
        <v>6990</v>
      </c>
      <c r="I50" s="42" t="n">
        <v>1179789</v>
      </c>
      <c r="J50" s="43" t="n">
        <v>30.02</v>
      </c>
      <c r="K50" s="43" t="n">
        <v>1.75</v>
      </c>
      <c r="L50" s="44" t="n">
        <v>70.59999999999999</v>
      </c>
    </row>
    <row r="51" ht="13" customHeight="1">
      <c r="A51" s="6" t="n">
        <v>23650</v>
      </c>
      <c r="B51" s="40" t="n">
        <v>560</v>
      </c>
      <c r="C51" s="40" t="n">
        <v>-56</v>
      </c>
      <c r="D51" s="40" t="n">
        <v>148</v>
      </c>
      <c r="E51" s="41" t="n"/>
      <c r="F51" s="41" t="n">
        <v>770</v>
      </c>
      <c r="G51" s="42" t="n">
        <v>42382</v>
      </c>
      <c r="H51" s="42" t="n">
        <v>-6911</v>
      </c>
      <c r="I51" s="42" t="n">
        <v>753960</v>
      </c>
      <c r="J51" s="43" t="n">
        <v>28.43</v>
      </c>
      <c r="K51" s="43" t="n">
        <v>1.75</v>
      </c>
      <c r="L51" s="44" t="n">
        <v>75.68000000000001</v>
      </c>
    </row>
    <row r="52" ht="13" customHeight="1">
      <c r="A52" s="4" t="n">
        <v>23700</v>
      </c>
      <c r="B52" s="40" t="n">
        <v>1788</v>
      </c>
      <c r="C52" s="40" t="n">
        <v>-924</v>
      </c>
      <c r="D52" s="40" t="n">
        <v>2574</v>
      </c>
      <c r="E52" s="41" t="n"/>
      <c r="F52" s="41" t="n">
        <v>724.45</v>
      </c>
      <c r="G52" s="42" t="n">
        <v>94137</v>
      </c>
      <c r="H52" s="42" t="n">
        <v>24872</v>
      </c>
      <c r="I52" s="42" t="n">
        <v>1367083</v>
      </c>
      <c r="J52" s="43" t="n">
        <v>27.45</v>
      </c>
      <c r="K52" s="43" t="n">
        <v>2.05</v>
      </c>
      <c r="L52" s="44" t="n">
        <v>52.65</v>
      </c>
    </row>
    <row r="53" ht="13" customHeight="1">
      <c r="A53" s="6" t="n">
        <v>23750</v>
      </c>
      <c r="B53" s="40" t="n">
        <v>1421</v>
      </c>
      <c r="C53" s="40" t="n">
        <v>-98</v>
      </c>
      <c r="D53" s="40" t="n">
        <v>796</v>
      </c>
      <c r="E53" s="41" t="n"/>
      <c r="F53" s="41" t="n">
        <v>671.6</v>
      </c>
      <c r="G53" s="42" t="n">
        <v>55137</v>
      </c>
      <c r="H53" s="42" t="n">
        <v>5573</v>
      </c>
      <c r="I53" s="42" t="n">
        <v>929553</v>
      </c>
      <c r="J53" s="43" t="n">
        <v>26.18</v>
      </c>
      <c r="K53" s="43" t="n">
        <v>2.25</v>
      </c>
      <c r="L53" s="44" t="n">
        <v>38.8</v>
      </c>
    </row>
    <row r="54" ht="13" customHeight="1">
      <c r="A54" s="4" t="n">
        <v>23800</v>
      </c>
      <c r="B54" s="40" t="n">
        <v>9126</v>
      </c>
      <c r="C54" s="40" t="n">
        <v>-3034</v>
      </c>
      <c r="D54" s="40" t="n">
        <v>7246</v>
      </c>
      <c r="E54" s="41" t="n"/>
      <c r="F54" s="41" t="n">
        <v>620.8</v>
      </c>
      <c r="G54" s="42" t="n">
        <v>137531</v>
      </c>
      <c r="H54" s="42" t="n">
        <v>11668</v>
      </c>
      <c r="I54" s="42" t="n">
        <v>1449795</v>
      </c>
      <c r="J54" s="43" t="n">
        <v>25.15</v>
      </c>
      <c r="K54" s="43" t="n">
        <v>2.65</v>
      </c>
      <c r="L54" s="44" t="n">
        <v>15.07</v>
      </c>
    </row>
    <row r="55" ht="13" customHeight="1">
      <c r="A55" s="6" t="n">
        <v>23850</v>
      </c>
      <c r="B55" s="40" t="n">
        <v>1841</v>
      </c>
      <c r="C55" s="40" t="n">
        <v>-95</v>
      </c>
      <c r="D55" s="40" t="n">
        <v>2128</v>
      </c>
      <c r="E55" s="41" t="n"/>
      <c r="F55" s="41" t="n">
        <v>571.3</v>
      </c>
      <c r="G55" s="42" t="n">
        <v>91362</v>
      </c>
      <c r="H55" s="42" t="n">
        <v>24221</v>
      </c>
      <c r="I55" s="42" t="n">
        <v>966113</v>
      </c>
      <c r="J55" s="43" t="n">
        <v>23.93</v>
      </c>
      <c r="K55" s="43" t="n">
        <v>3</v>
      </c>
      <c r="L55" s="44" t="n">
        <v>49.63</v>
      </c>
    </row>
    <row r="56" ht="13" customHeight="1">
      <c r="A56" s="4" t="n">
        <v>23900</v>
      </c>
      <c r="B56" s="40" t="n">
        <v>21440</v>
      </c>
      <c r="C56" s="40" t="n">
        <v>-4823</v>
      </c>
      <c r="D56" s="40" t="n">
        <v>18401</v>
      </c>
      <c r="E56" s="41" t="n"/>
      <c r="F56" s="41" t="n">
        <v>522.45</v>
      </c>
      <c r="G56" s="42" t="n">
        <v>195387</v>
      </c>
      <c r="H56" s="42" t="n">
        <v>48001</v>
      </c>
      <c r="I56" s="42" t="n">
        <v>1541509</v>
      </c>
      <c r="J56" s="43" t="n">
        <v>22.84</v>
      </c>
      <c r="K56" s="43" t="n">
        <v>3.55</v>
      </c>
      <c r="L56" s="44" t="n">
        <v>9.109999999999999</v>
      </c>
    </row>
    <row r="57" ht="13" customHeight="1">
      <c r="A57" s="6" t="n">
        <v>23950</v>
      </c>
      <c r="B57" s="40" t="n">
        <v>4244</v>
      </c>
      <c r="C57" s="40" t="n">
        <v>-3419</v>
      </c>
      <c r="D57" s="40" t="n">
        <v>11563</v>
      </c>
      <c r="E57" s="41" t="n"/>
      <c r="F57" s="41" t="n">
        <v>471.7</v>
      </c>
      <c r="G57" s="42" t="n">
        <v>71344</v>
      </c>
      <c r="H57" s="42" t="n">
        <v>2925</v>
      </c>
      <c r="I57" s="42" t="n">
        <v>908523</v>
      </c>
      <c r="J57" s="43" t="n">
        <v>21.6</v>
      </c>
      <c r="K57" s="43" t="n">
        <v>4.1</v>
      </c>
      <c r="L57" s="44" t="n">
        <v>16.81</v>
      </c>
    </row>
    <row r="58" ht="13" customHeight="1">
      <c r="A58" s="4" t="n">
        <v>24000</v>
      </c>
      <c r="B58" s="40" t="n">
        <v>56285</v>
      </c>
      <c r="C58" s="40" t="n">
        <v>-13189</v>
      </c>
      <c r="D58" s="40" t="n">
        <v>123185</v>
      </c>
      <c r="E58" s="41" t="n"/>
      <c r="F58" s="41" t="n">
        <v>422</v>
      </c>
      <c r="G58" s="42" t="n">
        <v>249532</v>
      </c>
      <c r="H58" s="42" t="n">
        <v>35210</v>
      </c>
      <c r="I58" s="42" t="n">
        <v>2081795</v>
      </c>
      <c r="J58" s="43" t="n">
        <v>20.53</v>
      </c>
      <c r="K58" s="43" t="n">
        <v>5</v>
      </c>
      <c r="L58" s="44" t="n">
        <v>4.43</v>
      </c>
    </row>
    <row r="59" ht="13" customHeight="1">
      <c r="A59" s="6" t="n">
        <v>24050</v>
      </c>
      <c r="B59" s="40" t="n">
        <v>13245</v>
      </c>
      <c r="C59" s="40" t="n">
        <v>-6529</v>
      </c>
      <c r="D59" s="40" t="n">
        <v>30494</v>
      </c>
      <c r="E59" s="41" t="n"/>
      <c r="F59" s="41" t="n">
        <v>373</v>
      </c>
      <c r="G59" s="42" t="n">
        <v>85753</v>
      </c>
      <c r="H59" s="42" t="n">
        <v>13342</v>
      </c>
      <c r="I59" s="42" t="n">
        <v>1036268</v>
      </c>
      <c r="J59" s="43" t="n">
        <v>19.08</v>
      </c>
      <c r="K59" s="43" t="n">
        <v>5.65</v>
      </c>
      <c r="L59" s="44" t="n">
        <v>6.47</v>
      </c>
    </row>
    <row r="60" ht="13" customHeight="1">
      <c r="A60" s="4" t="n">
        <v>24100</v>
      </c>
      <c r="B60" s="40" t="n">
        <v>19223</v>
      </c>
      <c r="C60" s="40" t="n">
        <v>-11102</v>
      </c>
      <c r="D60" s="40" t="n">
        <v>148247</v>
      </c>
      <c r="E60" s="41" t="n"/>
      <c r="F60" s="41" t="n">
        <v>323.95</v>
      </c>
      <c r="G60" s="42" t="n">
        <v>162329</v>
      </c>
      <c r="H60" s="42" t="n">
        <v>40056</v>
      </c>
      <c r="I60" s="42" t="n">
        <v>1910204</v>
      </c>
      <c r="J60" s="43" t="n">
        <v>17.79</v>
      </c>
      <c r="K60" s="43" t="n">
        <v>6.75</v>
      </c>
      <c r="L60" s="44" t="n">
        <v>8.44</v>
      </c>
    </row>
    <row r="61" ht="13" customHeight="1">
      <c r="A61" s="6" t="n">
        <v>24150</v>
      </c>
      <c r="B61" s="40" t="n">
        <v>9129</v>
      </c>
      <c r="C61" s="40" t="n">
        <v>-9466</v>
      </c>
      <c r="D61" s="40" t="n">
        <v>151096</v>
      </c>
      <c r="E61" s="41" t="n"/>
      <c r="F61" s="41" t="n">
        <v>278</v>
      </c>
      <c r="G61" s="42" t="n">
        <v>96405</v>
      </c>
      <c r="H61" s="42" t="n">
        <v>28343</v>
      </c>
      <c r="I61" s="42" t="n">
        <v>1819941</v>
      </c>
      <c r="J61" s="43" t="n">
        <v>16.63</v>
      </c>
      <c r="K61" s="43" t="n">
        <v>8.5</v>
      </c>
      <c r="L61" s="44" t="n">
        <v>10.56</v>
      </c>
    </row>
    <row r="62" ht="13" customHeight="1">
      <c r="A62" s="4" t="n">
        <v>24200</v>
      </c>
      <c r="B62" s="40" t="n">
        <v>27606</v>
      </c>
      <c r="C62" s="40" t="n">
        <v>-48815</v>
      </c>
      <c r="D62" s="40" t="n">
        <v>816785</v>
      </c>
      <c r="E62" s="41" t="n"/>
      <c r="F62" s="41" t="n">
        <v>229.1</v>
      </c>
      <c r="G62" s="42" t="n">
        <v>151848</v>
      </c>
      <c r="H62" s="42" t="n">
        <v>23977</v>
      </c>
      <c r="I62" s="42" t="n">
        <v>3246076</v>
      </c>
      <c r="J62" s="43" t="n">
        <v>15.53</v>
      </c>
      <c r="K62" s="43" t="n">
        <v>11.1</v>
      </c>
      <c r="L62" s="44" t="n">
        <v>5.5</v>
      </c>
    </row>
    <row r="63" ht="13" customHeight="1">
      <c r="A63" s="6" t="n">
        <v>24250</v>
      </c>
      <c r="B63" s="40" t="n">
        <v>9538</v>
      </c>
      <c r="C63" s="40" t="n">
        <v>-36037</v>
      </c>
      <c r="D63" s="40" t="n">
        <v>918972</v>
      </c>
      <c r="E63" s="41" t="n"/>
      <c r="F63" s="41" t="n">
        <v>183.15</v>
      </c>
      <c r="G63" s="42" t="n">
        <v>93722</v>
      </c>
      <c r="H63" s="42" t="n">
        <v>41283</v>
      </c>
      <c r="I63" s="42" t="n">
        <v>2576231</v>
      </c>
      <c r="J63" s="43" t="n">
        <v>14.44</v>
      </c>
      <c r="K63" s="43" t="n">
        <v>14.85</v>
      </c>
      <c r="L63" s="44" t="n">
        <v>9.83</v>
      </c>
    </row>
    <row r="64" ht="13" customHeight="1">
      <c r="A64" s="4" t="n">
        <v>24300</v>
      </c>
      <c r="B64" s="40" t="n">
        <v>45947</v>
      </c>
      <c r="C64" s="40" t="n">
        <v>-121326</v>
      </c>
      <c r="D64" s="40" t="n">
        <v>3455327</v>
      </c>
      <c r="E64" s="41" t="n">
        <v>7.7</v>
      </c>
      <c r="F64" s="41" t="n">
        <v>140.65</v>
      </c>
      <c r="G64" s="42" t="n">
        <v>212702</v>
      </c>
      <c r="H64" s="42" t="n">
        <v>116717</v>
      </c>
      <c r="I64" s="42" t="n">
        <v>5904827</v>
      </c>
      <c r="J64" s="43" t="n">
        <v>13.72</v>
      </c>
      <c r="K64" s="43" t="n">
        <v>21.65</v>
      </c>
      <c r="L64" s="44" t="n">
        <v>4.63</v>
      </c>
    </row>
    <row r="65" ht="13" customHeight="1">
      <c r="A65" s="6" t="n">
        <v>24350</v>
      </c>
      <c r="B65" s="40" t="n">
        <v>51379</v>
      </c>
      <c r="C65" s="40" t="n">
        <v>-64721</v>
      </c>
      <c r="D65" s="40" t="n">
        <v>4521937</v>
      </c>
      <c r="E65" s="41" t="n">
        <v>8.9</v>
      </c>
      <c r="F65" s="41" t="n">
        <v>101.5</v>
      </c>
      <c r="G65" s="42" t="n">
        <v>164218</v>
      </c>
      <c r="H65" s="42" t="n">
        <v>129899</v>
      </c>
      <c r="I65" s="42" t="n">
        <v>5505626</v>
      </c>
      <c r="J65" s="43" t="n">
        <v>13.19</v>
      </c>
      <c r="K65" s="43" t="n">
        <v>32.45</v>
      </c>
      <c r="L65" s="44" t="n">
        <v>3.2</v>
      </c>
    </row>
    <row r="66" ht="13" customHeight="1">
      <c r="A66" s="45" t="n">
        <v>24400</v>
      </c>
      <c r="B66" s="46" t="n">
        <v>161993</v>
      </c>
      <c r="C66" s="46" t="n">
        <v>-13002</v>
      </c>
      <c r="D66" s="46" t="n">
        <v>9647320</v>
      </c>
      <c r="E66" s="47" t="n">
        <v>9.460000000000001</v>
      </c>
      <c r="F66" s="47" t="n">
        <v>69</v>
      </c>
      <c r="G66" s="46" t="n">
        <v>212307</v>
      </c>
      <c r="H66" s="46" t="n">
        <v>186605</v>
      </c>
      <c r="I66" s="46" t="n">
        <v>8519580</v>
      </c>
      <c r="J66" s="47" t="n">
        <v>13</v>
      </c>
      <c r="K66" s="47" t="n">
        <v>49.4</v>
      </c>
      <c r="L66" s="48" t="n">
        <v>1.31</v>
      </c>
    </row>
    <row r="67" ht="13" customHeight="1">
      <c r="A67" s="6" t="n">
        <v>24450</v>
      </c>
      <c r="B67" s="40" t="n">
        <v>129534</v>
      </c>
      <c r="C67" s="40" t="n">
        <v>69991</v>
      </c>
      <c r="D67" s="40" t="n">
        <v>7457386</v>
      </c>
      <c r="E67" s="41" t="n">
        <v>9.98</v>
      </c>
      <c r="F67" s="41" t="n">
        <v>44.7</v>
      </c>
      <c r="G67" s="42" t="n">
        <v>75617</v>
      </c>
      <c r="H67" s="42" t="n">
        <v>70277</v>
      </c>
      <c r="I67" s="42" t="n">
        <v>3918625</v>
      </c>
      <c r="J67" s="43" t="n">
        <v>13.3</v>
      </c>
      <c r="K67" s="43" t="n">
        <v>74.55</v>
      </c>
      <c r="L67" s="44" t="n">
        <v>0.58</v>
      </c>
    </row>
    <row r="68" ht="13" customHeight="1">
      <c r="A68" s="4" t="n">
        <v>24500</v>
      </c>
      <c r="B68" s="40" t="n">
        <v>204247</v>
      </c>
      <c r="C68" s="40" t="n">
        <v>28708</v>
      </c>
      <c r="D68" s="40" t="n">
        <v>7938382</v>
      </c>
      <c r="E68" s="41" t="n">
        <v>10.22</v>
      </c>
      <c r="F68" s="41" t="n">
        <v>26.65</v>
      </c>
      <c r="G68" s="42" t="n">
        <v>52122</v>
      </c>
      <c r="H68" s="42" t="n">
        <v>31115</v>
      </c>
      <c r="I68" s="42" t="n">
        <v>2692543</v>
      </c>
      <c r="J68" s="43" t="n">
        <v>13.93</v>
      </c>
      <c r="K68" s="43" t="n">
        <v>107</v>
      </c>
      <c r="L68" s="44" t="n">
        <v>0.26</v>
      </c>
    </row>
    <row r="69" ht="13" customHeight="1">
      <c r="A69" s="6" t="n">
        <v>24550</v>
      </c>
      <c r="B69" s="40" t="n">
        <v>85993</v>
      </c>
      <c r="C69" s="40" t="n">
        <v>17215</v>
      </c>
      <c r="D69" s="40" t="n">
        <v>3882128</v>
      </c>
      <c r="E69" s="41" t="n">
        <v>10.54</v>
      </c>
      <c r="F69" s="41" t="n">
        <v>15.25</v>
      </c>
      <c r="G69" s="42" t="n">
        <v>6439</v>
      </c>
      <c r="H69" s="42" t="n">
        <v>4151</v>
      </c>
      <c r="I69" s="42" t="n">
        <v>526448</v>
      </c>
      <c r="J69" s="43" t="n">
        <v>14.89</v>
      </c>
      <c r="K69" s="43" t="n">
        <v>145.55</v>
      </c>
      <c r="L69" s="44" t="n">
        <v>0.07000000000000001</v>
      </c>
    </row>
    <row r="70" ht="13" customHeight="1">
      <c r="A70" s="4" t="n">
        <v>24600</v>
      </c>
      <c r="B70" s="40" t="n">
        <v>162009</v>
      </c>
      <c r="C70" s="40" t="n">
        <v>27510</v>
      </c>
      <c r="D70" s="40" t="n">
        <v>4856300</v>
      </c>
      <c r="E70" s="41" t="n">
        <v>10.89</v>
      </c>
      <c r="F70" s="41" t="n">
        <v>8.4</v>
      </c>
      <c r="G70" s="42" t="n">
        <v>12109</v>
      </c>
      <c r="H70" s="42" t="n">
        <v>8009</v>
      </c>
      <c r="I70" s="42" t="n">
        <v>508043</v>
      </c>
      <c r="J70" s="43" t="n">
        <v>16.05</v>
      </c>
      <c r="K70" s="43" t="n">
        <v>188.05</v>
      </c>
      <c r="L70" s="44" t="n">
        <v>0.07000000000000001</v>
      </c>
    </row>
    <row r="71" ht="13" customHeight="1">
      <c r="A71" s="6" t="n">
        <v>24650</v>
      </c>
      <c r="B71" s="40" t="n">
        <v>117025</v>
      </c>
      <c r="C71" s="40" t="n">
        <v>52346</v>
      </c>
      <c r="D71" s="40" t="n">
        <v>3384613</v>
      </c>
      <c r="E71" s="41" t="n">
        <v>11.22</v>
      </c>
      <c r="F71" s="41" t="n">
        <v>4.45</v>
      </c>
      <c r="G71" s="42" t="n">
        <v>1593</v>
      </c>
      <c r="H71" s="42" t="n">
        <v>972</v>
      </c>
      <c r="I71" s="42" t="n">
        <v>88344</v>
      </c>
      <c r="J71" s="43" t="n">
        <v>18.29</v>
      </c>
      <c r="K71" s="43" t="n">
        <v>236.2</v>
      </c>
      <c r="L71" s="44" t="n">
        <v>0.01</v>
      </c>
    </row>
    <row r="72" ht="13" customHeight="1">
      <c r="A72" s="4" t="n">
        <v>24700</v>
      </c>
      <c r="B72" s="40" t="n">
        <v>150628</v>
      </c>
      <c r="C72" s="40" t="n">
        <v>36823</v>
      </c>
      <c r="D72" s="40" t="n">
        <v>3398779</v>
      </c>
      <c r="E72" s="41" t="n">
        <v>12.01</v>
      </c>
      <c r="F72" s="41" t="n">
        <v>2.8</v>
      </c>
      <c r="G72" s="42" t="n">
        <v>2535</v>
      </c>
      <c r="H72" s="42" t="n">
        <v>1295</v>
      </c>
      <c r="I72" s="42" t="n">
        <v>89749</v>
      </c>
      <c r="J72" s="43" t="n">
        <v>20.34</v>
      </c>
      <c r="K72" s="43" t="n">
        <v>284.45</v>
      </c>
      <c r="L72" s="44" t="n">
        <v>0.02</v>
      </c>
    </row>
    <row r="73" ht="13" customHeight="1">
      <c r="A73" s="6" t="n">
        <v>24750</v>
      </c>
      <c r="B73" s="40" t="n">
        <v>55054</v>
      </c>
      <c r="C73" s="40" t="n">
        <v>-1977</v>
      </c>
      <c r="D73" s="40" t="n">
        <v>2145209</v>
      </c>
      <c r="E73" s="41" t="n">
        <v>12.52</v>
      </c>
      <c r="F73" s="41" t="n">
        <v>1.6</v>
      </c>
      <c r="G73" s="42" t="n">
        <v>672</v>
      </c>
      <c r="H73" s="42" t="n">
        <v>291</v>
      </c>
      <c r="I73" s="42" t="n">
        <v>10901</v>
      </c>
      <c r="J73" s="43" t="n">
        <v>21.64</v>
      </c>
      <c r="K73" s="43" t="n">
        <v>331.1</v>
      </c>
      <c r="L73" s="44" t="n">
        <v>0.01</v>
      </c>
    </row>
    <row r="74" ht="13" customHeight="1">
      <c r="A74" s="4" t="n">
        <v>24800</v>
      </c>
      <c r="B74" s="40" t="n">
        <v>94052</v>
      </c>
      <c r="C74" s="40" t="n">
        <v>-19310</v>
      </c>
      <c r="D74" s="40" t="n">
        <v>2013379</v>
      </c>
      <c r="E74" s="41" t="n">
        <v>13.8</v>
      </c>
      <c r="F74" s="41" t="n">
        <v>1.35</v>
      </c>
      <c r="G74" s="42" t="n">
        <v>1673</v>
      </c>
      <c r="H74" s="42" t="n">
        <v>826</v>
      </c>
      <c r="I74" s="42" t="n">
        <v>20690</v>
      </c>
      <c r="J74" s="43" t="n">
        <v>24</v>
      </c>
      <c r="K74" s="43" t="n">
        <v>381.15</v>
      </c>
      <c r="L74" s="44" t="n">
        <v>0.02</v>
      </c>
    </row>
    <row r="75" ht="13" customHeight="1">
      <c r="A75" s="6" t="n">
        <v>24850</v>
      </c>
      <c r="B75" s="40" t="n">
        <v>35701</v>
      </c>
      <c r="C75" s="40" t="n">
        <v>-465</v>
      </c>
      <c r="D75" s="40" t="n">
        <v>684793</v>
      </c>
      <c r="E75" s="41" t="n">
        <v>15.02</v>
      </c>
      <c r="F75" s="41" t="n">
        <v>1.15</v>
      </c>
      <c r="G75" s="42" t="n">
        <v>340</v>
      </c>
      <c r="H75" s="42" t="n">
        <v>191</v>
      </c>
      <c r="I75" s="42" t="n">
        <v>3929</v>
      </c>
      <c r="J75" s="43" t="n">
        <v>26.6</v>
      </c>
      <c r="K75" s="43" t="n">
        <v>431.95</v>
      </c>
      <c r="L75" s="44" t="n">
        <v>0.01</v>
      </c>
    </row>
    <row r="76" ht="13" customHeight="1">
      <c r="A76" s="4" t="n">
        <v>24900</v>
      </c>
      <c r="B76" s="40" t="n">
        <v>49398</v>
      </c>
      <c r="C76" s="40" t="n">
        <v>-19186</v>
      </c>
      <c r="D76" s="40" t="n">
        <v>705575</v>
      </c>
      <c r="E76" s="41" t="n">
        <v>15.76</v>
      </c>
      <c r="F76" s="41" t="n">
        <v>0.8</v>
      </c>
      <c r="G76" s="42" t="n">
        <v>457</v>
      </c>
      <c r="H76" s="42" t="n">
        <v>83</v>
      </c>
      <c r="I76" s="42" t="n">
        <v>2986</v>
      </c>
      <c r="J76" s="43" t="n">
        <v>29.29</v>
      </c>
      <c r="K76" s="43" t="n">
        <v>483</v>
      </c>
      <c r="L76" s="44" t="n">
        <v>0.01</v>
      </c>
    </row>
    <row r="77" ht="13" customHeight="1">
      <c r="A77" s="6" t="n">
        <v>24950</v>
      </c>
      <c r="B77" s="40" t="n">
        <v>23777</v>
      </c>
      <c r="C77" s="40" t="n">
        <v>-4608</v>
      </c>
      <c r="D77" s="40" t="n">
        <v>285346</v>
      </c>
      <c r="E77" s="41" t="n">
        <v>17.07</v>
      </c>
      <c r="F77" s="41" t="n">
        <v>0.75</v>
      </c>
      <c r="G77" s="42" t="n">
        <v>124</v>
      </c>
      <c r="H77" s="42" t="n">
        <v>86</v>
      </c>
      <c r="I77" s="42" t="n">
        <v>577</v>
      </c>
      <c r="J77" s="43" t="n">
        <v>32.61</v>
      </c>
      <c r="K77" s="43" t="n">
        <v>535.65</v>
      </c>
      <c r="L77" s="44" t="n">
        <v>0.01</v>
      </c>
    </row>
    <row r="78" ht="13" customHeight="1">
      <c r="A78" s="4" t="n">
        <v>25000</v>
      </c>
      <c r="B78" s="40" t="n">
        <v>129811</v>
      </c>
      <c r="C78" s="40" t="n">
        <v>-55904</v>
      </c>
      <c r="D78" s="40" t="n">
        <v>1354053</v>
      </c>
      <c r="E78" s="41" t="n">
        <v>18.5</v>
      </c>
      <c r="F78" s="41" t="n">
        <v>0.75</v>
      </c>
      <c r="G78" s="42" t="n">
        <v>4135</v>
      </c>
      <c r="H78" s="42" t="n">
        <v>-3773</v>
      </c>
      <c r="I78" s="42" t="n">
        <v>10004</v>
      </c>
      <c r="J78" s="43" t="n">
        <v>32.28</v>
      </c>
      <c r="K78" s="43" t="n">
        <v>579.95</v>
      </c>
      <c r="L78" s="44" t="n">
        <v>0.03</v>
      </c>
    </row>
    <row r="79" ht="13" customHeight="1">
      <c r="A79" s="6" t="n">
        <v>25050</v>
      </c>
      <c r="B79" s="40" t="n">
        <v>12850</v>
      </c>
      <c r="C79" s="40" t="n">
        <v>-6350</v>
      </c>
      <c r="D79" s="40" t="n">
        <v>176554</v>
      </c>
      <c r="E79" s="41" t="n">
        <v>19.56</v>
      </c>
      <c r="F79" s="41" t="n">
        <v>0.65</v>
      </c>
      <c r="G79" s="42" t="n">
        <v>54</v>
      </c>
      <c r="H79" s="42" t="n">
        <v>21</v>
      </c>
      <c r="I79" s="42" t="n">
        <v>210</v>
      </c>
      <c r="J79" s="43" t="n">
        <v>35.15</v>
      </c>
      <c r="K79" s="43" t="n">
        <v>631.55</v>
      </c>
      <c r="L79" s="44" t="n">
        <v>0</v>
      </c>
    </row>
    <row r="80" ht="13" customHeight="1">
      <c r="A80" s="4" t="n">
        <v>25100</v>
      </c>
      <c r="B80" s="40" t="n">
        <v>53337</v>
      </c>
      <c r="C80" s="40" t="n">
        <v>-19442</v>
      </c>
      <c r="D80" s="40" t="n">
        <v>641915</v>
      </c>
      <c r="E80" s="41" t="n">
        <v>20.75</v>
      </c>
      <c r="F80" s="41" t="n">
        <v>0.6</v>
      </c>
      <c r="G80" s="42" t="n">
        <v>118</v>
      </c>
      <c r="H80" s="42" t="n">
        <v>10</v>
      </c>
      <c r="I80" s="42" t="n">
        <v>380</v>
      </c>
      <c r="J80" s="43" t="n">
        <v>36.84</v>
      </c>
      <c r="K80" s="43" t="n">
        <v>680.75</v>
      </c>
      <c r="L80" s="44" t="n">
        <v>0</v>
      </c>
    </row>
    <row r="81" ht="13" customHeight="1">
      <c r="A81" s="6" t="n">
        <v>25150</v>
      </c>
      <c r="B81" s="40" t="n">
        <v>11281</v>
      </c>
      <c r="C81" s="40" t="n">
        <v>-1465</v>
      </c>
      <c r="D81" s="40" t="n">
        <v>168408</v>
      </c>
      <c r="E81" s="41" t="n">
        <v>22.1</v>
      </c>
      <c r="F81" s="41" t="n">
        <v>0.6</v>
      </c>
      <c r="G81" s="42" t="n">
        <v>26</v>
      </c>
      <c r="H81" s="42" t="n">
        <v>8</v>
      </c>
      <c r="I81" s="42" t="n">
        <v>57</v>
      </c>
      <c r="J81" s="43" t="n">
        <v>39.51</v>
      </c>
      <c r="K81" s="43" t="n">
        <v>731.95</v>
      </c>
      <c r="L81" s="44" t="n">
        <v>0</v>
      </c>
    </row>
    <row r="82" ht="13" customHeight="1">
      <c r="A82" s="4" t="n">
        <v>25200</v>
      </c>
      <c r="B82" s="40" t="n">
        <v>62052</v>
      </c>
      <c r="C82" s="40" t="n">
        <v>-5943</v>
      </c>
      <c r="D82" s="40" t="n">
        <v>403607</v>
      </c>
      <c r="E82" s="41" t="n">
        <v>23.21</v>
      </c>
      <c r="F82" s="41" t="n">
        <v>0.55</v>
      </c>
      <c r="G82" s="42" t="n">
        <v>137</v>
      </c>
      <c r="H82" s="42" t="n">
        <v>-22</v>
      </c>
      <c r="I82" s="42" t="n">
        <v>351</v>
      </c>
      <c r="J82" s="43" t="n">
        <v>40.64</v>
      </c>
      <c r="K82" s="43" t="n">
        <v>780.25</v>
      </c>
      <c r="L82" s="44" t="n">
        <v>0</v>
      </c>
    </row>
    <row r="83" ht="13" customHeight="1">
      <c r="A83" s="6" t="n">
        <v>25250</v>
      </c>
      <c r="B83" s="40" t="n">
        <v>8375</v>
      </c>
      <c r="C83" s="40" t="n">
        <v>-5386</v>
      </c>
      <c r="D83" s="40" t="n">
        <v>117718</v>
      </c>
      <c r="E83" s="41" t="n">
        <v>24.54</v>
      </c>
      <c r="F83" s="41" t="n">
        <v>0.55</v>
      </c>
      <c r="G83" s="42" t="n">
        <v>3</v>
      </c>
      <c r="H83" s="42" t="n">
        <v>0</v>
      </c>
      <c r="I83" s="42" t="n">
        <v>0</v>
      </c>
      <c r="J83" s="43" t="n"/>
      <c r="K83" s="43" t="n">
        <v>954</v>
      </c>
      <c r="L83" s="44" t="n">
        <v>0</v>
      </c>
    </row>
    <row r="84" ht="13" customHeight="1">
      <c r="A84" s="4" t="n">
        <v>25300</v>
      </c>
      <c r="B84" s="40" t="n">
        <v>36820</v>
      </c>
      <c r="C84" s="40" t="n">
        <v>-4179</v>
      </c>
      <c r="D84" s="40" t="n">
        <v>301116</v>
      </c>
      <c r="E84" s="41" t="n">
        <v>25.85</v>
      </c>
      <c r="F84" s="41" t="n">
        <v>0.55</v>
      </c>
      <c r="G84" s="42" t="n">
        <v>29</v>
      </c>
      <c r="H84" s="42" t="n">
        <v>-15</v>
      </c>
      <c r="I84" s="42" t="n">
        <v>166</v>
      </c>
      <c r="J84" s="43" t="n">
        <v>45.59</v>
      </c>
      <c r="K84" s="43" t="n">
        <v>882</v>
      </c>
      <c r="L84" s="44" t="n">
        <v>0</v>
      </c>
    </row>
    <row r="85" ht="13" customHeight="1">
      <c r="A85" s="6" t="n">
        <v>25350</v>
      </c>
      <c r="B85" s="40" t="n">
        <v>12569</v>
      </c>
      <c r="C85" s="40" t="n">
        <v>3431</v>
      </c>
      <c r="D85" s="40" t="n">
        <v>126584</v>
      </c>
      <c r="E85" s="41" t="n">
        <v>27.15</v>
      </c>
      <c r="F85" s="41" t="n">
        <v>0.55</v>
      </c>
      <c r="G85" s="42" t="n">
        <v>8</v>
      </c>
      <c r="H85" s="42" t="n">
        <v>0</v>
      </c>
      <c r="I85" s="42" t="n">
        <v>0</v>
      </c>
      <c r="J85" s="43" t="n">
        <v>25.13</v>
      </c>
      <c r="K85" s="43" t="n">
        <v>1375.95</v>
      </c>
      <c r="L85" s="44" t="n">
        <v>0</v>
      </c>
    </row>
    <row r="86" ht="13" customHeight="1">
      <c r="A86" s="4" t="n">
        <v>25400</v>
      </c>
      <c r="B86" s="40" t="n">
        <v>30620</v>
      </c>
      <c r="C86" s="40" t="n">
        <v>-3664</v>
      </c>
      <c r="D86" s="40" t="n">
        <v>217965</v>
      </c>
      <c r="E86" s="41" t="n">
        <v>27.84</v>
      </c>
      <c r="F86" s="41" t="n">
        <v>0.45</v>
      </c>
      <c r="G86" s="42" t="n">
        <v>27</v>
      </c>
      <c r="H86" s="42" t="n">
        <v>-1</v>
      </c>
      <c r="I86" s="42" t="n">
        <v>12</v>
      </c>
      <c r="J86" s="43" t="n">
        <v>42.98</v>
      </c>
      <c r="K86" s="43" t="n">
        <v>972.5</v>
      </c>
      <c r="L86" s="44" t="n">
        <v>0</v>
      </c>
    </row>
    <row r="87" ht="13" customHeight="1">
      <c r="A87" s="6" t="n">
        <v>25450</v>
      </c>
      <c r="B87" s="40" t="n">
        <v>7376</v>
      </c>
      <c r="C87" s="40" t="n">
        <v>-2196</v>
      </c>
      <c r="D87" s="40" t="n">
        <v>62028</v>
      </c>
      <c r="E87" s="41" t="n">
        <v>29.73</v>
      </c>
      <c r="F87" s="41" t="n">
        <v>0.55</v>
      </c>
      <c r="G87" s="42" t="n">
        <v>2</v>
      </c>
      <c r="H87" s="42" t="n">
        <v>0</v>
      </c>
      <c r="I87" s="42" t="n">
        <v>0</v>
      </c>
      <c r="J87" s="43" t="n">
        <v>28.19</v>
      </c>
      <c r="K87" s="43" t="n">
        <v>1259.7</v>
      </c>
      <c r="L87" s="44" t="n">
        <v>0</v>
      </c>
    </row>
    <row r="88" ht="13" customHeight="1">
      <c r="A88" s="4" t="n">
        <v>25500</v>
      </c>
      <c r="B88" s="40" t="n">
        <v>102744</v>
      </c>
      <c r="C88" s="40" t="n">
        <v>-31894</v>
      </c>
      <c r="D88" s="40" t="n">
        <v>442694</v>
      </c>
      <c r="E88" s="41" t="n">
        <v>31.01</v>
      </c>
      <c r="F88" s="41" t="n">
        <v>0.55</v>
      </c>
      <c r="G88" s="42" t="n">
        <v>1078</v>
      </c>
      <c r="H88" s="42" t="n">
        <v>-651</v>
      </c>
      <c r="I88" s="42" t="n">
        <v>989</v>
      </c>
      <c r="J88" s="43" t="n">
        <v>54.25</v>
      </c>
      <c r="K88" s="43" t="n">
        <v>1083.45</v>
      </c>
      <c r="L88" s="44" t="n">
        <v>0.01</v>
      </c>
    </row>
    <row r="89" ht="13" customHeight="1">
      <c r="A89" s="6" t="n">
        <v>25550</v>
      </c>
      <c r="B89" s="40" t="n">
        <v>4528</v>
      </c>
      <c r="C89" s="40" t="n">
        <v>-712</v>
      </c>
      <c r="D89" s="40" t="n">
        <v>28497</v>
      </c>
      <c r="E89" s="41" t="n">
        <v>31.96</v>
      </c>
      <c r="F89" s="41" t="n">
        <v>0.5</v>
      </c>
      <c r="G89" s="42" t="n">
        <v>6</v>
      </c>
      <c r="H89" s="42" t="n">
        <v>0</v>
      </c>
      <c r="I89" s="42" t="n">
        <v>0</v>
      </c>
      <c r="J89" s="43" t="n">
        <v>28.91</v>
      </c>
      <c r="K89" s="43" t="n">
        <v>1357.3</v>
      </c>
      <c r="L89" s="44" t="n">
        <v>0</v>
      </c>
    </row>
    <row r="90" ht="13" customHeight="1">
      <c r="A90" s="4" t="n">
        <v>25600</v>
      </c>
      <c r="B90" s="40" t="n">
        <v>24848</v>
      </c>
      <c r="C90" s="40" t="n">
        <v>-23975</v>
      </c>
      <c r="D90" s="40" t="n">
        <v>174441</v>
      </c>
      <c r="E90" s="41" t="n">
        <v>32.46</v>
      </c>
      <c r="F90" s="41" t="n">
        <v>0.4</v>
      </c>
      <c r="G90" s="42" t="n">
        <v>8</v>
      </c>
      <c r="H90" s="42" t="n">
        <v>0</v>
      </c>
      <c r="I90" s="42" t="n">
        <v>0</v>
      </c>
      <c r="J90" s="43" t="n"/>
      <c r="K90" s="43" t="n">
        <v>1320</v>
      </c>
      <c r="L90" s="44" t="n">
        <v>0</v>
      </c>
    </row>
    <row r="91" ht="13" customHeight="1">
      <c r="A91" s="6" t="n">
        <v>25650</v>
      </c>
      <c r="B91" s="40" t="n">
        <v>8186</v>
      </c>
      <c r="C91" s="40" t="n">
        <v>-12546</v>
      </c>
      <c r="D91" s="40" t="n">
        <v>92321</v>
      </c>
      <c r="E91" s="41" t="n">
        <v>33.69</v>
      </c>
      <c r="F91" s="41" t="n">
        <v>0.4</v>
      </c>
      <c r="G91" s="42" t="n">
        <v>8</v>
      </c>
      <c r="H91" s="42" t="n">
        <v>0</v>
      </c>
      <c r="I91" s="42" t="n">
        <v>0</v>
      </c>
      <c r="J91" s="43" t="n">
        <v>27.61</v>
      </c>
      <c r="K91" s="43" t="n">
        <v>1670</v>
      </c>
      <c r="L91" s="44" t="n">
        <v>0</v>
      </c>
    </row>
    <row r="92" ht="13" customHeight="1">
      <c r="A92" s="4" t="n">
        <v>25700</v>
      </c>
      <c r="B92" s="40" t="n">
        <v>9855</v>
      </c>
      <c r="C92" s="40" t="n">
        <v>-29461</v>
      </c>
      <c r="D92" s="40" t="n">
        <v>141976</v>
      </c>
      <c r="E92" s="41" t="n">
        <v>34.45</v>
      </c>
      <c r="F92" s="41" t="n">
        <v>0.35</v>
      </c>
      <c r="G92" s="42" t="n">
        <v>8</v>
      </c>
      <c r="H92" s="42" t="n">
        <v>0</v>
      </c>
      <c r="I92" s="42" t="n">
        <v>3</v>
      </c>
      <c r="J92" s="43" t="n">
        <v>61.9</v>
      </c>
      <c r="K92" s="43" t="n">
        <v>1283.55</v>
      </c>
      <c r="L92" s="44" t="n">
        <v>0</v>
      </c>
    </row>
    <row r="93" ht="13" customHeight="1">
      <c r="A93" s="6" t="n">
        <v>25750</v>
      </c>
      <c r="B93" s="40" t="n">
        <v>2692</v>
      </c>
      <c r="C93" s="40" t="n">
        <v>-1425</v>
      </c>
      <c r="D93" s="40" t="n">
        <v>17768</v>
      </c>
      <c r="E93" s="41" t="n">
        <v>35.64</v>
      </c>
      <c r="F93" s="41" t="n">
        <v>0.35</v>
      </c>
      <c r="G93" s="42" t="n">
        <v>0</v>
      </c>
      <c r="H93" s="42" t="n">
        <v>0</v>
      </c>
      <c r="I93" s="42" t="n">
        <v>0</v>
      </c>
      <c r="J93" s="43" t="n"/>
      <c r="K93" s="43" t="n"/>
      <c r="L93" s="44" t="n">
        <v>0</v>
      </c>
    </row>
    <row r="94" ht="13" customHeight="1">
      <c r="A94" s="4" t="n">
        <v>25800</v>
      </c>
      <c r="B94" s="40" t="n">
        <v>12618</v>
      </c>
      <c r="C94" s="40" t="n">
        <v>-29913</v>
      </c>
      <c r="D94" s="40" t="n">
        <v>116423</v>
      </c>
      <c r="E94" s="41" t="n">
        <v>36.83</v>
      </c>
      <c r="F94" s="41" t="n">
        <v>0.35</v>
      </c>
      <c r="G94" s="42" t="n">
        <v>30</v>
      </c>
      <c r="H94" s="42" t="n">
        <v>-12</v>
      </c>
      <c r="I94" s="42" t="n">
        <v>24</v>
      </c>
      <c r="J94" s="43" t="n">
        <v>72.90000000000001</v>
      </c>
      <c r="K94" s="43" t="n">
        <v>1396</v>
      </c>
      <c r="L94" s="44" t="n">
        <v>0</v>
      </c>
    </row>
    <row r="95" ht="13" customHeight="1">
      <c r="A95" s="6" t="n">
        <v>25850</v>
      </c>
      <c r="B95" s="40" t="n">
        <v>2402</v>
      </c>
      <c r="C95" s="40" t="n">
        <v>-2729</v>
      </c>
      <c r="D95" s="40" t="n">
        <v>19927</v>
      </c>
      <c r="E95" s="41" t="n">
        <v>37.47</v>
      </c>
      <c r="F95" s="41" t="n">
        <v>0.3</v>
      </c>
      <c r="G95" s="42" t="n">
        <v>4</v>
      </c>
      <c r="H95" s="42" t="n">
        <v>0</v>
      </c>
      <c r="I95" s="42" t="n">
        <v>0</v>
      </c>
      <c r="J95" s="43" t="n"/>
      <c r="K95" s="43" t="n">
        <v>1887.9</v>
      </c>
      <c r="L95" s="44" t="n">
        <v>0</v>
      </c>
    </row>
    <row r="96" ht="13" customHeight="1">
      <c r="A96" s="4" t="n">
        <v>25900</v>
      </c>
      <c r="B96" s="40" t="n">
        <v>9264</v>
      </c>
      <c r="C96" s="40" t="n">
        <v>-2903</v>
      </c>
      <c r="D96" s="40" t="n">
        <v>46296</v>
      </c>
      <c r="E96" s="41" t="n">
        <v>38</v>
      </c>
      <c r="F96" s="41" t="n">
        <v>0.25</v>
      </c>
      <c r="G96" s="42" t="n">
        <v>0</v>
      </c>
      <c r="H96" s="42" t="n">
        <v>0</v>
      </c>
      <c r="I96" s="42" t="n">
        <v>0</v>
      </c>
      <c r="J96" s="43" t="n"/>
      <c r="K96" s="43" t="n"/>
      <c r="L96" s="44" t="n">
        <v>0</v>
      </c>
    </row>
    <row r="97" ht="13" customHeight="1">
      <c r="A97" s="6" t="n">
        <v>25950</v>
      </c>
      <c r="B97" s="40" t="n">
        <v>2004</v>
      </c>
      <c r="C97" s="40" t="n">
        <v>-1839</v>
      </c>
      <c r="D97" s="40" t="n">
        <v>15624</v>
      </c>
      <c r="E97" s="41" t="n">
        <v>40.37</v>
      </c>
      <c r="F97" s="41" t="n">
        <v>0.35</v>
      </c>
      <c r="G97" s="42" t="n">
        <v>0</v>
      </c>
      <c r="H97" s="42" t="n">
        <v>0</v>
      </c>
      <c r="I97" s="42" t="n">
        <v>0</v>
      </c>
      <c r="J97" s="43" t="n"/>
      <c r="K97" s="43" t="n"/>
      <c r="L97" s="44" t="n">
        <v>0</v>
      </c>
    </row>
    <row r="98" ht="13" customHeight="1">
      <c r="A98" s="4" t="n">
        <v>26000</v>
      </c>
      <c r="B98" s="40" t="n">
        <v>31526</v>
      </c>
      <c r="C98" s="40" t="n">
        <v>-53987</v>
      </c>
      <c r="D98" s="40" t="n">
        <v>217678</v>
      </c>
      <c r="E98" s="41" t="n">
        <v>42.54</v>
      </c>
      <c r="F98" s="41" t="n">
        <v>0.45</v>
      </c>
      <c r="G98" s="42" t="n">
        <v>732</v>
      </c>
      <c r="H98" s="42" t="n">
        <v>-322</v>
      </c>
      <c r="I98" s="42" t="n">
        <v>510</v>
      </c>
      <c r="J98" s="43" t="n">
        <v>72.54000000000001</v>
      </c>
      <c r="K98" s="43" t="n">
        <v>1583.1</v>
      </c>
      <c r="L98" s="44" t="n">
        <v>0.02</v>
      </c>
    </row>
    <row r="99" ht="13" customHeight="1">
      <c r="A99" s="6" t="n">
        <v>26050</v>
      </c>
      <c r="B99" s="40" t="n">
        <v>1999</v>
      </c>
      <c r="C99" s="40" t="n">
        <v>-4030</v>
      </c>
      <c r="D99" s="40" t="n">
        <v>15623</v>
      </c>
      <c r="E99" s="41" t="n">
        <v>43.24</v>
      </c>
      <c r="F99" s="41" t="n">
        <v>0.4</v>
      </c>
      <c r="G99" s="42" t="n">
        <v>0</v>
      </c>
      <c r="H99" s="42" t="n">
        <v>0</v>
      </c>
      <c r="I99" s="42" t="n">
        <v>0</v>
      </c>
      <c r="J99" s="43" t="n"/>
      <c r="K99" s="43" t="n"/>
      <c r="L99" s="44" t="n">
        <v>0</v>
      </c>
    </row>
    <row r="100" ht="13" customHeight="1">
      <c r="A100" s="4" t="n">
        <v>26100</v>
      </c>
      <c r="B100" s="40" t="n">
        <v>5215</v>
      </c>
      <c r="C100" s="40" t="n">
        <v>-6666</v>
      </c>
      <c r="D100" s="40" t="n">
        <v>26920</v>
      </c>
      <c r="E100" s="41" t="n">
        <v>44.91</v>
      </c>
      <c r="F100" s="41" t="n">
        <v>0.45</v>
      </c>
      <c r="G100" s="42" t="n">
        <v>0</v>
      </c>
      <c r="H100" s="42" t="n">
        <v>0</v>
      </c>
      <c r="I100" s="42" t="n">
        <v>0</v>
      </c>
      <c r="J100" s="43" t="n"/>
      <c r="K100" s="43" t="n"/>
      <c r="L100" s="44" t="n">
        <v>0</v>
      </c>
    </row>
    <row r="101" ht="13" customHeight="1">
      <c r="A101" s="6" t="n">
        <v>26150</v>
      </c>
      <c r="B101" s="40" t="n">
        <v>1592</v>
      </c>
      <c r="C101" s="40" t="n">
        <v>-2216</v>
      </c>
      <c r="D101" s="40" t="n">
        <v>14488</v>
      </c>
      <c r="E101" s="41" t="n">
        <v>45</v>
      </c>
      <c r="F101" s="41" t="n">
        <v>0.35</v>
      </c>
      <c r="G101" s="42" t="n">
        <v>0</v>
      </c>
      <c r="H101" s="42" t="n">
        <v>0</v>
      </c>
      <c r="I101" s="42" t="n">
        <v>0</v>
      </c>
      <c r="J101" s="43" t="n"/>
      <c r="K101" s="43" t="n"/>
      <c r="L101" s="44" t="n">
        <v>0</v>
      </c>
    </row>
    <row r="102" ht="13" customHeight="1">
      <c r="A102" s="4" t="n">
        <v>26200</v>
      </c>
      <c r="B102" s="40" t="n">
        <v>3888</v>
      </c>
      <c r="C102" s="40" t="n">
        <v>-7289</v>
      </c>
      <c r="D102" s="40" t="n">
        <v>24865</v>
      </c>
      <c r="E102" s="41" t="n">
        <v>45.51</v>
      </c>
      <c r="F102" s="41" t="n">
        <v>0.3</v>
      </c>
      <c r="G102" s="42" t="n">
        <v>10</v>
      </c>
      <c r="H102" s="42" t="n">
        <v>0</v>
      </c>
      <c r="I102" s="42" t="n">
        <v>2</v>
      </c>
      <c r="J102" s="43" t="n">
        <v>68.58</v>
      </c>
      <c r="K102" s="43" t="n">
        <v>1771.5</v>
      </c>
      <c r="L102" s="44" t="n">
        <v>0</v>
      </c>
    </row>
    <row r="103" ht="13" customHeight="1">
      <c r="A103" s="6" t="n">
        <v>26250</v>
      </c>
      <c r="B103" s="40" t="n">
        <v>2008</v>
      </c>
      <c r="C103" s="40" t="n">
        <v>-2460</v>
      </c>
      <c r="D103" s="40" t="n">
        <v>12613</v>
      </c>
      <c r="E103" s="41" t="n">
        <v>46.64</v>
      </c>
      <c r="F103" s="41" t="n">
        <v>0.3</v>
      </c>
      <c r="G103" s="42" t="n">
        <v>0</v>
      </c>
      <c r="H103" s="42" t="n">
        <v>0</v>
      </c>
      <c r="I103" s="42" t="n">
        <v>0</v>
      </c>
      <c r="J103" s="43" t="n"/>
      <c r="K103" s="43" t="n"/>
      <c r="L103" s="44" t="n">
        <v>0</v>
      </c>
    </row>
    <row r="104" ht="13" customHeight="1">
      <c r="A104" s="4" t="n">
        <v>26300</v>
      </c>
      <c r="B104" s="40" t="n">
        <v>21055</v>
      </c>
      <c r="C104" s="40" t="n">
        <v>-34689</v>
      </c>
      <c r="D104" s="40" t="n">
        <v>148382</v>
      </c>
      <c r="E104" s="41" t="n">
        <v>47</v>
      </c>
      <c r="F104" s="41" t="n">
        <v>0.25</v>
      </c>
      <c r="G104" s="42" t="n">
        <v>40</v>
      </c>
      <c r="H104" s="42" t="n">
        <v>0</v>
      </c>
      <c r="I104" s="42" t="n">
        <v>3</v>
      </c>
      <c r="J104" s="43" t="n">
        <v>52.5</v>
      </c>
      <c r="K104" s="43" t="n">
        <v>1863.25</v>
      </c>
      <c r="L104" s="44" t="n">
        <v>0</v>
      </c>
    </row>
  </sheetData>
  <mergeCells count="4">
    <mergeCell ref="B2:L2"/>
    <mergeCell ref="G3:K3"/>
    <mergeCell ref="A1:M1"/>
    <mergeCell ref="B3:F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</cols>
  <sheetData>
    <row r="1" ht="22" customHeight="1">
      <c r="A1" s="1" t="inlineStr">
        <is>
          <t>NSE FAO — Max Pain Analysis (Aggregate OI Pain by Strike)</t>
        </is>
      </c>
    </row>
    <row r="2" ht="28" customHeight="1">
      <c r="A2" s="14" t="inlineStr">
        <is>
          <t>Summary</t>
        </is>
      </c>
      <c r="B2" s="49" t="inlineStr">
        <is>
          <t>Jul 06 2026</t>
        </is>
      </c>
    </row>
    <row r="3" ht="14" customHeight="1">
      <c r="A3" s="50" t="inlineStr">
        <is>
          <t>Max Pain Strike</t>
        </is>
      </c>
      <c r="B3" s="51" t="n">
        <v>24400</v>
      </c>
    </row>
    <row r="4" ht="14" customHeight="1">
      <c r="A4" s="25" t="inlineStr">
        <is>
          <t>ATM Strike</t>
        </is>
      </c>
      <c r="B4" s="6" t="n">
        <v>24400</v>
      </c>
    </row>
    <row r="5" ht="14" customHeight="1">
      <c r="A5" s="25" t="inlineStr">
        <is>
          <t>Aggregate OI PCR</t>
        </is>
      </c>
      <c r="B5" s="52" t="n">
        <v>1.4974</v>
      </c>
    </row>
    <row r="6" ht="14" customHeight="1">
      <c r="A6" s="25" t="inlineStr">
        <is>
          <t>Total Call OI</t>
        </is>
      </c>
      <c r="B6" s="6" t="n">
        <v>2164667</v>
      </c>
    </row>
    <row r="7" ht="14" customHeight="1">
      <c r="A7" s="25" t="inlineStr">
        <is>
          <t>Total Put OI</t>
        </is>
      </c>
      <c r="B7" s="4" t="n">
        <v>3241273</v>
      </c>
    </row>
    <row r="9" ht="8" customHeight="1"/>
    <row r="10" ht="16" customHeight="1">
      <c r="A10" s="14" t="inlineStr">
        <is>
          <t>Per-Strike Pain Values by Date  (lower = more likely to be Max Pain)</t>
        </is>
      </c>
    </row>
    <row r="11" ht="28" customHeight="1">
      <c r="A11" s="39" t="inlineStr">
        <is>
          <t>Strike</t>
        </is>
      </c>
      <c r="B11" s="2" t="inlineStr">
        <is>
          <t>Jul 06 2026</t>
        </is>
      </c>
    </row>
    <row r="12" ht="13" customHeight="1">
      <c r="A12" s="4" t="n">
        <v>21350</v>
      </c>
      <c r="B12" s="4" t="n">
        <v>7913509400</v>
      </c>
    </row>
    <row r="13" ht="13" customHeight="1">
      <c r="A13" s="6" t="n">
        <v>21400</v>
      </c>
      <c r="B13" s="6" t="n">
        <v>7752668400</v>
      </c>
    </row>
    <row r="14" ht="13" customHeight="1">
      <c r="A14" s="4" t="n">
        <v>21450</v>
      </c>
      <c r="B14" s="4" t="n">
        <v>7592538350</v>
      </c>
    </row>
    <row r="15" ht="13" customHeight="1">
      <c r="A15" s="6" t="n">
        <v>21500</v>
      </c>
      <c r="B15" s="6" t="n">
        <v>7432445550</v>
      </c>
    </row>
    <row r="16" ht="13" customHeight="1">
      <c r="A16" s="4" t="n">
        <v>21550</v>
      </c>
      <c r="B16" s="4" t="n">
        <v>7273341800</v>
      </c>
    </row>
    <row r="17" ht="13" customHeight="1">
      <c r="A17" s="6" t="n">
        <v>21600</v>
      </c>
      <c r="B17" s="6" t="n">
        <v>7114284350</v>
      </c>
    </row>
    <row r="18" ht="13" customHeight="1">
      <c r="A18" s="4" t="n">
        <v>21650</v>
      </c>
      <c r="B18" s="4" t="n">
        <v>6955384050</v>
      </c>
    </row>
    <row r="19" ht="13" customHeight="1">
      <c r="A19" s="6" t="n">
        <v>21700</v>
      </c>
      <c r="B19" s="6" t="n">
        <v>6796498200</v>
      </c>
    </row>
    <row r="20" ht="13" customHeight="1">
      <c r="A20" s="4" t="n">
        <v>21750</v>
      </c>
      <c r="B20" s="4" t="n">
        <v>6637690050</v>
      </c>
    </row>
    <row r="21" ht="13" customHeight="1">
      <c r="A21" s="6" t="n">
        <v>21800</v>
      </c>
      <c r="B21" s="6" t="n">
        <v>6478895750</v>
      </c>
    </row>
    <row r="22" ht="13" customHeight="1">
      <c r="A22" s="4" t="n">
        <v>21850</v>
      </c>
      <c r="B22" s="4" t="n">
        <v>6320347200</v>
      </c>
    </row>
    <row r="23" ht="13" customHeight="1">
      <c r="A23" s="6" t="n">
        <v>21900</v>
      </c>
      <c r="B23" s="6" t="n">
        <v>6161814100</v>
      </c>
    </row>
    <row r="24" ht="13" customHeight="1">
      <c r="A24" s="4" t="n">
        <v>21950</v>
      </c>
      <c r="B24" s="4" t="n">
        <v>6003461850</v>
      </c>
    </row>
    <row r="25" ht="13" customHeight="1">
      <c r="A25" s="6" t="n">
        <v>22000</v>
      </c>
      <c r="B25" s="6" t="n">
        <v>5845168150</v>
      </c>
    </row>
    <row r="26" ht="13" customHeight="1">
      <c r="A26" s="4" t="n">
        <v>22050</v>
      </c>
      <c r="B26" s="4" t="n">
        <v>5688489450</v>
      </c>
    </row>
    <row r="27" ht="13" customHeight="1">
      <c r="A27" s="6" t="n">
        <v>22100</v>
      </c>
      <c r="B27" s="6" t="n">
        <v>5531883000</v>
      </c>
    </row>
    <row r="28" ht="13" customHeight="1">
      <c r="A28" s="4" t="n">
        <v>22150</v>
      </c>
      <c r="B28" s="4" t="n">
        <v>5375390450</v>
      </c>
    </row>
    <row r="29" ht="13" customHeight="1">
      <c r="A29" s="6" t="n">
        <v>22200</v>
      </c>
      <c r="B29" s="6" t="n">
        <v>5218959850</v>
      </c>
    </row>
    <row r="30" ht="13" customHeight="1">
      <c r="A30" s="4" t="n">
        <v>22250</v>
      </c>
      <c r="B30" s="4" t="n">
        <v>5062739450</v>
      </c>
    </row>
    <row r="31" ht="13" customHeight="1">
      <c r="A31" s="6" t="n">
        <v>22300</v>
      </c>
      <c r="B31" s="6" t="n">
        <v>4906619850</v>
      </c>
    </row>
    <row r="32" ht="13" customHeight="1">
      <c r="A32" s="4" t="n">
        <v>22350</v>
      </c>
      <c r="B32" s="4" t="n">
        <v>4750789700</v>
      </c>
    </row>
    <row r="33" ht="13" customHeight="1">
      <c r="A33" s="6" t="n">
        <v>22400</v>
      </c>
      <c r="B33" s="6" t="n">
        <v>4595036950</v>
      </c>
    </row>
    <row r="34" ht="13" customHeight="1">
      <c r="A34" s="4" t="n">
        <v>22450</v>
      </c>
      <c r="B34" s="4" t="n">
        <v>4439581150</v>
      </c>
    </row>
    <row r="35" ht="13" customHeight="1">
      <c r="A35" s="6" t="n">
        <v>22500</v>
      </c>
      <c r="B35" s="6" t="n">
        <v>4284190650</v>
      </c>
    </row>
    <row r="36" ht="13" customHeight="1">
      <c r="A36" s="4" t="n">
        <v>22550</v>
      </c>
      <c r="B36" s="4" t="n">
        <v>4130480200</v>
      </c>
    </row>
    <row r="37" ht="13" customHeight="1">
      <c r="A37" s="6" t="n">
        <v>22600</v>
      </c>
      <c r="B37" s="6" t="n">
        <v>3976890050</v>
      </c>
    </row>
    <row r="38" ht="13" customHeight="1">
      <c r="A38" s="4" t="n">
        <v>22650</v>
      </c>
      <c r="B38" s="4" t="n">
        <v>3823878850</v>
      </c>
    </row>
    <row r="39" ht="13" customHeight="1">
      <c r="A39" s="6" t="n">
        <v>22700</v>
      </c>
      <c r="B39" s="6" t="n">
        <v>3671161200</v>
      </c>
    </row>
    <row r="40" ht="13" customHeight="1">
      <c r="A40" s="4" t="n">
        <v>22750</v>
      </c>
      <c r="B40" s="4" t="n">
        <v>3518972800</v>
      </c>
    </row>
    <row r="41" ht="13" customHeight="1">
      <c r="A41" s="6" t="n">
        <v>22800</v>
      </c>
      <c r="B41" s="6" t="n">
        <v>3366962200</v>
      </c>
    </row>
    <row r="42" ht="13" customHeight="1">
      <c r="A42" s="4" t="n">
        <v>22850</v>
      </c>
      <c r="B42" s="4" t="n">
        <v>3215970300</v>
      </c>
    </row>
    <row r="43" ht="13" customHeight="1">
      <c r="A43" s="6" t="n">
        <v>22900</v>
      </c>
      <c r="B43" s="6" t="n">
        <v>3065373150</v>
      </c>
    </row>
    <row r="44" ht="13" customHeight="1">
      <c r="A44" s="4" t="n">
        <v>22950</v>
      </c>
      <c r="B44" s="4" t="n">
        <v>2916005650</v>
      </c>
    </row>
    <row r="45" ht="13" customHeight="1">
      <c r="A45" s="6" t="n">
        <v>23000</v>
      </c>
      <c r="B45" s="6" t="n">
        <v>2767111400</v>
      </c>
    </row>
    <row r="46" ht="13" customHeight="1">
      <c r="A46" s="4" t="n">
        <v>23050</v>
      </c>
      <c r="B46" s="4" t="n">
        <v>2624054850</v>
      </c>
    </row>
    <row r="47" ht="13" customHeight="1">
      <c r="A47" s="6" t="n">
        <v>23100</v>
      </c>
      <c r="B47" s="6" t="n">
        <v>2481411900</v>
      </c>
    </row>
    <row r="48" ht="13" customHeight="1">
      <c r="A48" s="4" t="n">
        <v>23150</v>
      </c>
      <c r="B48" s="4" t="n">
        <v>2340294900</v>
      </c>
    </row>
    <row r="49" ht="13" customHeight="1">
      <c r="A49" s="6" t="n">
        <v>23200</v>
      </c>
      <c r="B49" s="6" t="n">
        <v>2200014000</v>
      </c>
    </row>
    <row r="50" ht="13" customHeight="1">
      <c r="A50" s="4" t="n">
        <v>23250</v>
      </c>
      <c r="B50" s="4" t="n">
        <v>2063136800</v>
      </c>
    </row>
    <row r="51" ht="13" customHeight="1">
      <c r="A51" s="6" t="n">
        <v>23300</v>
      </c>
      <c r="B51" s="6" t="n">
        <v>1927376700</v>
      </c>
    </row>
    <row r="52" ht="13" customHeight="1">
      <c r="A52" s="4" t="n">
        <v>23350</v>
      </c>
      <c r="B52" s="4" t="n">
        <v>1795582050</v>
      </c>
    </row>
    <row r="53" ht="13" customHeight="1">
      <c r="A53" s="6" t="n">
        <v>23400</v>
      </c>
      <c r="B53" s="6" t="n">
        <v>1664587450</v>
      </c>
    </row>
    <row r="54" ht="13" customHeight="1">
      <c r="A54" s="4" t="n">
        <v>23450</v>
      </c>
      <c r="B54" s="4" t="n">
        <v>1536451400</v>
      </c>
    </row>
    <row r="55" ht="13" customHeight="1">
      <c r="A55" s="6" t="n">
        <v>23500</v>
      </c>
      <c r="B55" s="6" t="n">
        <v>1409238550</v>
      </c>
    </row>
    <row r="56" ht="13" customHeight="1">
      <c r="A56" s="4" t="n">
        <v>23550</v>
      </c>
      <c r="B56" s="4" t="n">
        <v>1289784200</v>
      </c>
    </row>
    <row r="57" ht="13" customHeight="1">
      <c r="A57" s="6" t="n">
        <v>23600</v>
      </c>
      <c r="B57" s="6" t="n">
        <v>1171569850</v>
      </c>
    </row>
    <row r="58" ht="13" customHeight="1">
      <c r="A58" s="4" t="n">
        <v>23650</v>
      </c>
      <c r="B58" s="4" t="n">
        <v>1058306300</v>
      </c>
    </row>
    <row r="59" ht="13" customHeight="1">
      <c r="A59" s="6" t="n">
        <v>23700</v>
      </c>
      <c r="B59" s="6" t="n">
        <v>947189850</v>
      </c>
    </row>
    <row r="60" ht="13" customHeight="1">
      <c r="A60" s="4" t="n">
        <v>23750</v>
      </c>
      <c r="B60" s="4" t="n">
        <v>840869650</v>
      </c>
    </row>
    <row r="61" ht="13" customHeight="1">
      <c r="A61" s="6" t="n">
        <v>23800</v>
      </c>
      <c r="B61" s="6" t="n">
        <v>737377350</v>
      </c>
    </row>
    <row r="62" ht="13" customHeight="1">
      <c r="A62" s="4" t="n">
        <v>23850</v>
      </c>
      <c r="B62" s="4" t="n">
        <v>641217900</v>
      </c>
    </row>
    <row r="63" ht="13" customHeight="1">
      <c r="A63" s="6" t="n">
        <v>23900</v>
      </c>
      <c r="B63" s="6" t="n">
        <v>549718600</v>
      </c>
    </row>
    <row r="64" ht="13" customHeight="1">
      <c r="A64" s="4" t="n">
        <v>23950</v>
      </c>
      <c r="B64" s="4" t="n">
        <v>469060650</v>
      </c>
    </row>
    <row r="65" ht="13" customHeight="1">
      <c r="A65" s="6" t="n">
        <v>24000</v>
      </c>
      <c r="B65" s="6" t="n">
        <v>392182100</v>
      </c>
    </row>
    <row r="66" ht="13" customHeight="1">
      <c r="A66" s="4" t="n">
        <v>24050</v>
      </c>
      <c r="B66" s="4" t="n">
        <v>330594400</v>
      </c>
    </row>
    <row r="67" ht="13" customHeight="1">
      <c r="A67" s="6" t="n">
        <v>24100</v>
      </c>
      <c r="B67" s="6" t="n">
        <v>273956600</v>
      </c>
    </row>
    <row r="68" ht="13" customHeight="1">
      <c r="A68" s="4" t="n">
        <v>24150</v>
      </c>
      <c r="B68" s="4" t="n">
        <v>226396400</v>
      </c>
    </row>
    <row r="69" ht="13" customHeight="1">
      <c r="A69" s="6" t="n">
        <v>24200</v>
      </c>
      <c r="B69" s="6" t="n">
        <v>184112900</v>
      </c>
    </row>
    <row r="70" ht="13" customHeight="1">
      <c r="A70" s="4" t="n">
        <v>24250</v>
      </c>
      <c r="B70" s="4" t="n">
        <v>150802100</v>
      </c>
    </row>
    <row r="71" ht="13" customHeight="1">
      <c r="A71" s="6" t="n">
        <v>24300</v>
      </c>
      <c r="B71" s="6" t="n">
        <v>122654300</v>
      </c>
    </row>
    <row r="72" ht="13" customHeight="1">
      <c r="A72" s="4" t="n">
        <v>24350</v>
      </c>
      <c r="B72" s="4" t="n">
        <v>107438950</v>
      </c>
    </row>
    <row r="73" ht="13" customHeight="1">
      <c r="A73" s="6" t="n">
        <v>24400</v>
      </c>
      <c r="B73" s="51" t="n">
        <v>103003450</v>
      </c>
    </row>
    <row r="74" ht="13" customHeight="1">
      <c r="A74" s="4" t="n">
        <v>24450</v>
      </c>
      <c r="B74" s="4" t="n">
        <v>117282950</v>
      </c>
    </row>
    <row r="75" ht="13" customHeight="1">
      <c r="A75" s="6" t="n">
        <v>24500</v>
      </c>
      <c r="B75" s="6" t="n">
        <v>141820000</v>
      </c>
    </row>
    <row r="76" ht="13" customHeight="1">
      <c r="A76" s="4" t="n">
        <v>24550</v>
      </c>
      <c r="B76" s="4" t="n">
        <v>179175500</v>
      </c>
    </row>
    <row r="77" ht="13" customHeight="1">
      <c r="A77" s="6" t="n">
        <v>24600</v>
      </c>
      <c r="B77" s="6" t="n">
        <v>221152600</v>
      </c>
    </row>
    <row r="78" ht="13" customHeight="1">
      <c r="A78" s="4" t="n">
        <v>24650</v>
      </c>
      <c r="B78" s="4" t="n">
        <v>271835600</v>
      </c>
    </row>
    <row r="79" ht="13" customHeight="1">
      <c r="A79" s="6" t="n">
        <v>24700</v>
      </c>
      <c r="B79" s="6" t="n">
        <v>328449500</v>
      </c>
    </row>
    <row r="80" ht="13" customHeight="1">
      <c r="A80" s="4" t="n">
        <v>24750</v>
      </c>
      <c r="B80" s="4" t="n">
        <v>392721550</v>
      </c>
    </row>
    <row r="81" ht="13" customHeight="1">
      <c r="A81" s="6" t="n">
        <v>24800</v>
      </c>
      <c r="B81" s="6" t="n">
        <v>459779900</v>
      </c>
    </row>
    <row r="82" ht="13" customHeight="1">
      <c r="A82" s="4" t="n">
        <v>24850</v>
      </c>
      <c r="B82" s="4" t="n">
        <v>531624500</v>
      </c>
    </row>
    <row r="83" ht="13" customHeight="1">
      <c r="A83" s="6" t="n">
        <v>24900</v>
      </c>
      <c r="B83" s="6" t="n">
        <v>605271150</v>
      </c>
    </row>
    <row r="84" ht="13" customHeight="1">
      <c r="A84" s="4" t="n">
        <v>24950</v>
      </c>
      <c r="B84" s="4" t="n">
        <v>681410550</v>
      </c>
    </row>
    <row r="85" ht="13" customHeight="1">
      <c r="A85" s="6" t="n">
        <v>25000</v>
      </c>
      <c r="B85" s="6" t="n">
        <v>758745000</v>
      </c>
    </row>
    <row r="86" ht="13" customHeight="1">
      <c r="A86" s="4" t="n">
        <v>25050</v>
      </c>
      <c r="B86" s="4" t="n">
        <v>842776750</v>
      </c>
    </row>
    <row r="87" ht="13" customHeight="1">
      <c r="A87" s="6" t="n">
        <v>25100</v>
      </c>
      <c r="B87" s="6" t="n">
        <v>927453700</v>
      </c>
    </row>
    <row r="88" ht="13" customHeight="1">
      <c r="A88" s="4" t="n">
        <v>25150</v>
      </c>
      <c r="B88" s="4" t="n">
        <v>1014803400</v>
      </c>
    </row>
    <row r="89" ht="13" customHeight="1">
      <c r="A89" s="6" t="n">
        <v>25200</v>
      </c>
      <c r="B89" s="6" t="n">
        <v>1102718450</v>
      </c>
    </row>
    <row r="90" ht="13" customHeight="1">
      <c r="A90" s="4" t="n">
        <v>25250</v>
      </c>
      <c r="B90" s="4" t="n">
        <v>1193742950</v>
      </c>
    </row>
    <row r="91" ht="13" customHeight="1">
      <c r="A91" s="6" t="n">
        <v>25300</v>
      </c>
      <c r="B91" s="6" t="n">
        <v>1285186350</v>
      </c>
    </row>
    <row r="92" ht="13" customHeight="1">
      <c r="A92" s="4" t="n">
        <v>25350</v>
      </c>
      <c r="B92" s="4" t="n">
        <v>1378472200</v>
      </c>
    </row>
    <row r="93" ht="13" customHeight="1">
      <c r="A93" s="6" t="n">
        <v>25400</v>
      </c>
      <c r="B93" s="6" t="n">
        <v>1472386900</v>
      </c>
    </row>
    <row r="94" ht="13" customHeight="1">
      <c r="A94" s="4" t="n">
        <v>25450</v>
      </c>
      <c r="B94" s="4" t="n">
        <v>1567833950</v>
      </c>
    </row>
    <row r="95" ht="13" customHeight="1">
      <c r="A95" s="6" t="n">
        <v>25500</v>
      </c>
      <c r="B95" s="6" t="n">
        <v>1663649900</v>
      </c>
    </row>
    <row r="96" ht="13" customHeight="1">
      <c r="A96" s="4" t="n">
        <v>25550</v>
      </c>
      <c r="B96" s="4" t="n">
        <v>1764656950</v>
      </c>
    </row>
    <row r="97" ht="13" customHeight="1">
      <c r="A97" s="6" t="n">
        <v>25600</v>
      </c>
      <c r="B97" s="6" t="n">
        <v>1865890700</v>
      </c>
    </row>
    <row r="98" ht="13" customHeight="1">
      <c r="A98" s="4" t="n">
        <v>25650</v>
      </c>
      <c r="B98" s="4" t="n">
        <v>1968367250</v>
      </c>
    </row>
    <row r="99" ht="13" customHeight="1">
      <c r="A99" s="6" t="n">
        <v>25700</v>
      </c>
      <c r="B99" s="6" t="n">
        <v>2071253500</v>
      </c>
    </row>
    <row r="100" ht="13" customHeight="1">
      <c r="A100" s="4" t="n">
        <v>25750</v>
      </c>
      <c r="B100" s="4" t="n">
        <v>2174632900</v>
      </c>
    </row>
    <row r="101" ht="13" customHeight="1">
      <c r="A101" s="6" t="n">
        <v>25800</v>
      </c>
      <c r="B101" s="6" t="n">
        <v>2278146900</v>
      </c>
    </row>
    <row r="102" ht="13" customHeight="1">
      <c r="A102" s="4" t="n">
        <v>25850</v>
      </c>
      <c r="B102" s="4" t="n">
        <v>2382293300</v>
      </c>
    </row>
    <row r="103" ht="13" customHeight="1">
      <c r="A103" s="6" t="n">
        <v>25900</v>
      </c>
      <c r="B103" s="6" t="n">
        <v>2486560000</v>
      </c>
    </row>
    <row r="104" ht="13" customHeight="1">
      <c r="A104" s="4" t="n">
        <v>25950</v>
      </c>
      <c r="B104" s="4" t="n">
        <v>2591289900</v>
      </c>
    </row>
    <row r="105" ht="13" customHeight="1">
      <c r="A105" s="6" t="n">
        <v>26000</v>
      </c>
      <c r="B105" s="6" t="n">
        <v>2696120000</v>
      </c>
    </row>
    <row r="106" ht="13" customHeight="1">
      <c r="A106" s="4" t="n">
        <v>26050</v>
      </c>
      <c r="B106" s="4" t="n">
        <v>2802563000</v>
      </c>
    </row>
    <row r="107" ht="13" customHeight="1">
      <c r="A107" s="6" t="n">
        <v>26100</v>
      </c>
      <c r="B107" s="6" t="n">
        <v>2909105950</v>
      </c>
    </row>
    <row r="108" ht="13" customHeight="1">
      <c r="A108" s="4" t="n">
        <v>26150</v>
      </c>
      <c r="B108" s="4" t="n">
        <v>3015909650</v>
      </c>
    </row>
    <row r="109" ht="13" customHeight="1">
      <c r="A109" s="6" t="n">
        <v>26200</v>
      </c>
      <c r="B109" s="6" t="n">
        <v>3122792950</v>
      </c>
    </row>
    <row r="110" ht="13" customHeight="1">
      <c r="A110" s="4" t="n">
        <v>26250</v>
      </c>
      <c r="B110" s="4" t="n">
        <v>3229871150</v>
      </c>
    </row>
    <row r="111" ht="13" customHeight="1">
      <c r="A111" s="6" t="n">
        <v>26300</v>
      </c>
      <c r="B111" s="6" t="n">
        <v>3337049750</v>
      </c>
    </row>
  </sheetData>
  <mergeCells count="2">
    <mergeCell ref="A10:L10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</cols>
  <sheetData>
    <row r="1" ht="22" customHeight="1">
      <c r="A1" s="1" t="inlineStr">
        <is>
          <t>NSE FAO — OI Walls: Call Resistance &amp; Put Support (Top 10 Strikes)</t>
        </is>
      </c>
    </row>
    <row r="2" ht="18" customHeight="1">
      <c r="A2" s="19" t="inlineStr">
        <is>
          <t>Jul 06 2026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</row>
    <row r="3" ht="16" customHeight="1">
      <c r="A3" s="8" t="inlineStr">
        <is>
          <t>⬆ CALL WALL (Resistance)</t>
        </is>
      </c>
      <c r="B3" s="9" t="n"/>
      <c r="C3" s="9" t="n"/>
      <c r="D3" s="9" t="n"/>
      <c r="E3" s="9" t="n"/>
      <c r="F3" s="10" t="inlineStr">
        <is>
          <t>⬇ PUT WALL (Support)</t>
        </is>
      </c>
      <c r="G3" s="11" t="n"/>
      <c r="H3" s="11" t="n"/>
      <c r="I3" s="11" t="n"/>
      <c r="J3" s="11" t="n"/>
    </row>
    <row r="4" ht="28" customHeight="1">
      <c r="A4" s="12" t="inlineStr">
        <is>
          <t>Strike</t>
        </is>
      </c>
      <c r="B4" s="12" t="inlineStr">
        <is>
          <t>Call OI</t>
        </is>
      </c>
      <c r="C4" s="12" t="inlineStr">
        <is>
          <t>Δ Call OI</t>
        </is>
      </c>
      <c r="D4" s="12" t="inlineStr">
        <is>
          <t>Call Vol</t>
        </is>
      </c>
      <c r="E4" s="12" t="inlineStr">
        <is>
          <t>% of Total Call OI</t>
        </is>
      </c>
      <c r="F4" s="13" t="inlineStr">
        <is>
          <t>Strike</t>
        </is>
      </c>
      <c r="G4" s="13" t="inlineStr">
        <is>
          <t>Put OI</t>
        </is>
      </c>
      <c r="H4" s="13" t="inlineStr">
        <is>
          <t>Δ Put OI</t>
        </is>
      </c>
      <c r="I4" s="13" t="inlineStr">
        <is>
          <t>Put Vol</t>
        </is>
      </c>
      <c r="J4" s="13" t="inlineStr">
        <is>
          <t>% of Total Put OI</t>
        </is>
      </c>
    </row>
    <row r="5" ht="14" customHeight="1">
      <c r="A5" s="40" t="n">
        <v>24500</v>
      </c>
      <c r="B5" s="40" t="n">
        <v>204247</v>
      </c>
      <c r="C5" s="53" t="n">
        <v>28708</v>
      </c>
      <c r="D5" s="40" t="n">
        <v>7938382</v>
      </c>
      <c r="E5" s="54" t="n">
        <v>0.0944</v>
      </c>
      <c r="F5" s="42" t="n">
        <v>24000</v>
      </c>
      <c r="G5" s="42" t="n">
        <v>249532</v>
      </c>
      <c r="H5" s="55" t="n">
        <v>35210</v>
      </c>
      <c r="I5" s="42" t="n">
        <v>2081795</v>
      </c>
      <c r="J5" s="56" t="n">
        <v>0.077</v>
      </c>
    </row>
    <row r="6" ht="14" customHeight="1">
      <c r="A6" s="40" t="n">
        <v>24600</v>
      </c>
      <c r="B6" s="40" t="n">
        <v>162009</v>
      </c>
      <c r="C6" s="53" t="n">
        <v>27510</v>
      </c>
      <c r="D6" s="40" t="n">
        <v>4856300</v>
      </c>
      <c r="E6" s="54" t="n">
        <v>0.07480000000000001</v>
      </c>
      <c r="F6" s="42" t="n">
        <v>24300</v>
      </c>
      <c r="G6" s="42" t="n">
        <v>212702</v>
      </c>
      <c r="H6" s="55" t="n">
        <v>116717</v>
      </c>
      <c r="I6" s="42" t="n">
        <v>5904827</v>
      </c>
      <c r="J6" s="56" t="n">
        <v>0.06560000000000001</v>
      </c>
    </row>
    <row r="7" ht="14" customHeight="1">
      <c r="A7" s="40" t="n">
        <v>24400</v>
      </c>
      <c r="B7" s="40" t="n">
        <v>161993</v>
      </c>
      <c r="C7" s="53" t="n">
        <v>-13002</v>
      </c>
      <c r="D7" s="40" t="n">
        <v>9647320</v>
      </c>
      <c r="E7" s="54" t="n">
        <v>0.07480000000000001</v>
      </c>
      <c r="F7" s="42" t="n">
        <v>24400</v>
      </c>
      <c r="G7" s="42" t="n">
        <v>212307</v>
      </c>
      <c r="H7" s="55" t="n">
        <v>186605</v>
      </c>
      <c r="I7" s="42" t="n">
        <v>8519580</v>
      </c>
      <c r="J7" s="56" t="n">
        <v>0.0655</v>
      </c>
    </row>
    <row r="8" ht="14" customHeight="1">
      <c r="A8" s="40" t="n">
        <v>24700</v>
      </c>
      <c r="B8" s="40" t="n">
        <v>150628</v>
      </c>
      <c r="C8" s="53" t="n">
        <v>36823</v>
      </c>
      <c r="D8" s="40" t="n">
        <v>3398779</v>
      </c>
      <c r="E8" s="54" t="n">
        <v>0.0696</v>
      </c>
      <c r="F8" s="42" t="n">
        <v>23900</v>
      </c>
      <c r="G8" s="42" t="n">
        <v>195387</v>
      </c>
      <c r="H8" s="55" t="n">
        <v>48001</v>
      </c>
      <c r="I8" s="42" t="n">
        <v>1541509</v>
      </c>
      <c r="J8" s="56" t="n">
        <v>0.0603</v>
      </c>
    </row>
    <row r="9" ht="14" customHeight="1">
      <c r="A9" s="40" t="n">
        <v>25000</v>
      </c>
      <c r="B9" s="40" t="n">
        <v>129811</v>
      </c>
      <c r="C9" s="53" t="n">
        <v>-55904</v>
      </c>
      <c r="D9" s="40" t="n">
        <v>1354053</v>
      </c>
      <c r="E9" s="54" t="n">
        <v>0.06</v>
      </c>
      <c r="F9" s="42" t="n">
        <v>24350</v>
      </c>
      <c r="G9" s="42" t="n">
        <v>164218</v>
      </c>
      <c r="H9" s="55" t="n">
        <v>129899</v>
      </c>
      <c r="I9" s="42" t="n">
        <v>5505626</v>
      </c>
      <c r="J9" s="56" t="n">
        <v>0.0507</v>
      </c>
    </row>
    <row r="10" ht="14" customHeight="1">
      <c r="A10" s="40" t="n">
        <v>24450</v>
      </c>
      <c r="B10" s="40" t="n">
        <v>129534</v>
      </c>
      <c r="C10" s="53" t="n">
        <v>69991</v>
      </c>
      <c r="D10" s="40" t="n">
        <v>7457386</v>
      </c>
      <c r="E10" s="54" t="n">
        <v>0.0598</v>
      </c>
      <c r="F10" s="42" t="n">
        <v>24100</v>
      </c>
      <c r="G10" s="42" t="n">
        <v>162329</v>
      </c>
      <c r="H10" s="55" t="n">
        <v>40056</v>
      </c>
      <c r="I10" s="42" t="n">
        <v>1910204</v>
      </c>
      <c r="J10" s="56" t="n">
        <v>0.0501</v>
      </c>
    </row>
    <row r="11" ht="14" customHeight="1">
      <c r="A11" s="40" t="n">
        <v>24650</v>
      </c>
      <c r="B11" s="40" t="n">
        <v>117025</v>
      </c>
      <c r="C11" s="53" t="n">
        <v>52346</v>
      </c>
      <c r="D11" s="40" t="n">
        <v>3384613</v>
      </c>
      <c r="E11" s="54" t="n">
        <v>0.0541</v>
      </c>
      <c r="F11" s="42" t="n">
        <v>24200</v>
      </c>
      <c r="G11" s="42" t="n">
        <v>151848</v>
      </c>
      <c r="H11" s="55" t="n">
        <v>23977</v>
      </c>
      <c r="I11" s="42" t="n">
        <v>3246076</v>
      </c>
      <c r="J11" s="56" t="n">
        <v>0.0468</v>
      </c>
    </row>
    <row r="12" ht="14" customHeight="1">
      <c r="A12" s="40" t="n">
        <v>25500</v>
      </c>
      <c r="B12" s="40" t="n">
        <v>102744</v>
      </c>
      <c r="C12" s="53" t="n">
        <v>-31894</v>
      </c>
      <c r="D12" s="40" t="n">
        <v>442694</v>
      </c>
      <c r="E12" s="54" t="n">
        <v>0.0475</v>
      </c>
      <c r="F12" s="42" t="n">
        <v>23500</v>
      </c>
      <c r="G12" s="42" t="n">
        <v>151820</v>
      </c>
      <c r="H12" s="55" t="n">
        <v>8106</v>
      </c>
      <c r="I12" s="42" t="n">
        <v>1567079</v>
      </c>
      <c r="J12" s="56" t="n">
        <v>0.0468</v>
      </c>
    </row>
    <row r="13" ht="14" customHeight="1">
      <c r="A13" s="40" t="n">
        <v>24800</v>
      </c>
      <c r="B13" s="40" t="n">
        <v>94052</v>
      </c>
      <c r="C13" s="53" t="n">
        <v>-19310</v>
      </c>
      <c r="D13" s="40" t="n">
        <v>2013379</v>
      </c>
      <c r="E13" s="54" t="n">
        <v>0.0434</v>
      </c>
      <c r="F13" s="42" t="n">
        <v>23800</v>
      </c>
      <c r="G13" s="42" t="n">
        <v>137531</v>
      </c>
      <c r="H13" s="55" t="n">
        <v>11668</v>
      </c>
      <c r="I13" s="42" t="n">
        <v>1449795</v>
      </c>
      <c r="J13" s="56" t="n">
        <v>0.0424</v>
      </c>
    </row>
    <row r="14" ht="14" customHeight="1">
      <c r="A14" s="40" t="n">
        <v>24550</v>
      </c>
      <c r="B14" s="40" t="n">
        <v>85993</v>
      </c>
      <c r="C14" s="53" t="n">
        <v>17215</v>
      </c>
      <c r="D14" s="40" t="n">
        <v>3882128</v>
      </c>
      <c r="E14" s="54" t="n">
        <v>0.0397</v>
      </c>
      <c r="F14" s="42" t="n">
        <v>23000</v>
      </c>
      <c r="G14" s="42" t="n">
        <v>115208</v>
      </c>
      <c r="H14" s="55" t="n">
        <v>-21581</v>
      </c>
      <c r="I14" s="42" t="n">
        <v>740931</v>
      </c>
      <c r="J14" s="56" t="n">
        <v>0.0355</v>
      </c>
    </row>
  </sheetData>
  <mergeCells count="4">
    <mergeCell ref="A3:E3"/>
    <mergeCell ref="A1:K1"/>
    <mergeCell ref="F3:J3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2" customWidth="1" min="5" max="5"/>
  </cols>
  <sheetData>
    <row r="1" ht="22" customHeight="1">
      <c r="A1" s="1" t="inlineStr">
        <is>
          <t>NSE FAO — Implied Volatility Skew by Strike</t>
        </is>
      </c>
    </row>
    <row r="2" ht="16" customHeight="1">
      <c r="A2" s="19" t="inlineStr">
        <is>
          <t>Strike</t>
        </is>
      </c>
      <c r="B2" s="19" t="inlineStr">
        <is>
          <t>Jul 06 2026</t>
        </is>
      </c>
      <c r="C2" s="20" t="n"/>
      <c r="D2" s="20" t="n"/>
      <c r="E2" s="20" t="n"/>
    </row>
    <row r="3" ht="28" customHeight="1">
      <c r="A3" s="37" t="inlineStr"/>
      <c r="B3" s="12" t="inlineStr">
        <is>
          <t>Call IV</t>
        </is>
      </c>
      <c r="C3" s="13" t="inlineStr">
        <is>
          <t>Put IV</t>
        </is>
      </c>
      <c r="D3" s="57" t="inlineStr">
        <is>
          <t>Put−Call Skew</t>
        </is>
      </c>
      <c r="E3" s="58" t="n"/>
    </row>
    <row r="4" ht="13" customHeight="1">
      <c r="A4" s="4" t="n">
        <v>21350</v>
      </c>
      <c r="B4" s="41" t="n"/>
      <c r="C4" s="43" t="n">
        <v>87.03</v>
      </c>
      <c r="D4" s="59" t="n"/>
      <c r="E4" s="26" t="n"/>
    </row>
    <row r="5" ht="13" customHeight="1">
      <c r="A5" s="6" t="n">
        <v>21400</v>
      </c>
      <c r="B5" s="41" t="n"/>
      <c r="C5" s="43" t="n">
        <v>81.48999999999999</v>
      </c>
      <c r="D5" s="59" t="n"/>
      <c r="E5" s="27" t="n"/>
    </row>
    <row r="6" ht="13" customHeight="1">
      <c r="A6" s="4" t="n">
        <v>21450</v>
      </c>
      <c r="B6" s="41" t="n"/>
      <c r="C6" s="43" t="n">
        <v>81.38</v>
      </c>
      <c r="D6" s="59" t="n"/>
      <c r="E6" s="26" t="n"/>
    </row>
    <row r="7" ht="13" customHeight="1">
      <c r="A7" s="6" t="n">
        <v>21500</v>
      </c>
      <c r="B7" s="41" t="n">
        <v>63.34</v>
      </c>
      <c r="C7" s="43" t="n">
        <v>78.84</v>
      </c>
      <c r="D7" s="60" t="n">
        <v>15.5</v>
      </c>
      <c r="E7" s="27" t="n"/>
    </row>
    <row r="8" ht="13" customHeight="1">
      <c r="A8" s="4" t="n">
        <v>21550</v>
      </c>
      <c r="B8" s="41" t="n"/>
      <c r="C8" s="43" t="n">
        <v>77.52</v>
      </c>
      <c r="D8" s="59" t="n"/>
      <c r="E8" s="26" t="n"/>
    </row>
    <row r="9" ht="13" customHeight="1">
      <c r="A9" s="6" t="n">
        <v>21600</v>
      </c>
      <c r="B9" s="41" t="n"/>
      <c r="C9" s="43" t="n">
        <v>77.36</v>
      </c>
      <c r="D9" s="59" t="n"/>
      <c r="E9" s="27" t="n"/>
    </row>
    <row r="10" ht="13" customHeight="1">
      <c r="A10" s="4" t="n">
        <v>21650</v>
      </c>
      <c r="B10" s="41" t="n"/>
      <c r="C10" s="43" t="n">
        <v>74.88</v>
      </c>
      <c r="D10" s="59" t="n"/>
      <c r="E10" s="26" t="n"/>
    </row>
    <row r="11" ht="13" customHeight="1">
      <c r="A11" s="6" t="n">
        <v>21700</v>
      </c>
      <c r="B11" s="41" t="n"/>
      <c r="C11" s="43" t="n">
        <v>73.56999999999999</v>
      </c>
      <c r="D11" s="59" t="n"/>
      <c r="E11" s="27" t="n"/>
    </row>
    <row r="12" ht="13" customHeight="1">
      <c r="A12" s="4" t="n">
        <v>21750</v>
      </c>
      <c r="B12" s="41" t="n"/>
      <c r="C12" s="43" t="n">
        <v>73.36</v>
      </c>
      <c r="D12" s="59" t="n"/>
      <c r="E12" s="26" t="n"/>
    </row>
    <row r="13" ht="13" customHeight="1">
      <c r="A13" s="6" t="n">
        <v>21800</v>
      </c>
      <c r="B13" s="41" t="n"/>
      <c r="C13" s="43" t="n">
        <v>72.98999999999999</v>
      </c>
      <c r="D13" s="59" t="n"/>
      <c r="E13" s="27" t="n"/>
    </row>
    <row r="14" ht="13" customHeight="1">
      <c r="A14" s="4" t="n">
        <v>21850</v>
      </c>
      <c r="B14" s="41" t="n"/>
      <c r="C14" s="43" t="n">
        <v>72.48999999999999</v>
      </c>
      <c r="D14" s="59" t="n"/>
      <c r="E14" s="26" t="n"/>
    </row>
    <row r="15" ht="13" customHeight="1">
      <c r="A15" s="6" t="n">
        <v>21900</v>
      </c>
      <c r="B15" s="41" t="n"/>
      <c r="C15" s="43" t="n">
        <v>71.13</v>
      </c>
      <c r="D15" s="59" t="n"/>
      <c r="E15" s="27" t="n"/>
    </row>
    <row r="16" ht="13" customHeight="1">
      <c r="A16" s="4" t="n">
        <v>21950</v>
      </c>
      <c r="B16" s="41" t="n"/>
      <c r="C16" s="43" t="n">
        <v>68.04000000000001</v>
      </c>
      <c r="D16" s="59" t="n"/>
      <c r="E16" s="26" t="n"/>
    </row>
    <row r="17" ht="13" customHeight="1">
      <c r="A17" s="6" t="n">
        <v>22000</v>
      </c>
      <c r="B17" s="41" t="n"/>
      <c r="C17" s="43" t="n">
        <v>68.42</v>
      </c>
      <c r="D17" s="59" t="n"/>
      <c r="E17" s="27" t="n"/>
    </row>
    <row r="18" ht="13" customHeight="1">
      <c r="A18" s="4" t="n">
        <v>22050</v>
      </c>
      <c r="B18" s="41" t="n"/>
      <c r="C18" s="43" t="n">
        <v>66.27</v>
      </c>
      <c r="D18" s="59" t="n"/>
      <c r="E18" s="26" t="n"/>
    </row>
    <row r="19" ht="13" customHeight="1">
      <c r="A19" s="6" t="n">
        <v>22100</v>
      </c>
      <c r="B19" s="41" t="n"/>
      <c r="C19" s="43" t="n">
        <v>65.70999999999999</v>
      </c>
      <c r="D19" s="59" t="n"/>
      <c r="E19" s="27" t="n"/>
    </row>
    <row r="20" ht="13" customHeight="1">
      <c r="A20" s="4" t="n">
        <v>22150</v>
      </c>
      <c r="B20" s="41" t="n"/>
      <c r="C20" s="43" t="n">
        <v>64.36</v>
      </c>
      <c r="D20" s="59" t="n"/>
      <c r="E20" s="26" t="n"/>
    </row>
    <row r="21" ht="13" customHeight="1">
      <c r="A21" s="6" t="n">
        <v>22200</v>
      </c>
      <c r="B21" s="41" t="n">
        <v>131.65</v>
      </c>
      <c r="C21" s="43" t="n">
        <v>63.01</v>
      </c>
      <c r="D21" s="61" t="n">
        <v>-68.64</v>
      </c>
      <c r="E21" s="27" t="n"/>
    </row>
    <row r="22" ht="13" customHeight="1">
      <c r="A22" s="4" t="n">
        <v>22250</v>
      </c>
      <c r="B22" s="41" t="n"/>
      <c r="C22" s="43" t="n">
        <v>60.92</v>
      </c>
      <c r="D22" s="59" t="n"/>
      <c r="E22" s="26" t="n"/>
    </row>
    <row r="23" ht="13" customHeight="1">
      <c r="A23" s="6" t="n">
        <v>22300</v>
      </c>
      <c r="B23" s="41" t="n"/>
      <c r="C23" s="43" t="n">
        <v>60.96</v>
      </c>
      <c r="D23" s="59" t="n"/>
      <c r="E23" s="27" t="n"/>
    </row>
    <row r="24" ht="13" customHeight="1">
      <c r="A24" s="4" t="n">
        <v>22350</v>
      </c>
      <c r="B24" s="41" t="n"/>
      <c r="C24" s="43" t="n">
        <v>58.25</v>
      </c>
      <c r="D24" s="59" t="n"/>
      <c r="E24" s="26" t="n"/>
    </row>
    <row r="25" ht="13" customHeight="1">
      <c r="A25" s="6" t="n">
        <v>22400</v>
      </c>
      <c r="B25" s="41" t="n"/>
      <c r="C25" s="43" t="n">
        <v>59.36</v>
      </c>
      <c r="D25" s="59" t="n"/>
      <c r="E25" s="27" t="n"/>
    </row>
    <row r="26" ht="13" customHeight="1">
      <c r="A26" s="4" t="n">
        <v>22450</v>
      </c>
      <c r="B26" s="41" t="n">
        <v>59.88</v>
      </c>
      <c r="C26" s="43" t="n">
        <v>56.88</v>
      </c>
      <c r="D26" s="61" t="n">
        <v>-3</v>
      </c>
      <c r="E26" s="26" t="n"/>
    </row>
    <row r="27" ht="13" customHeight="1">
      <c r="A27" s="6" t="n">
        <v>22500</v>
      </c>
      <c r="B27" s="41" t="n"/>
      <c r="C27" s="43" t="n">
        <v>56.59</v>
      </c>
      <c r="D27" s="59" t="n"/>
      <c r="E27" s="27" t="n"/>
    </row>
    <row r="28" ht="13" customHeight="1">
      <c r="A28" s="4" t="n">
        <v>22550</v>
      </c>
      <c r="B28" s="41" t="n"/>
      <c r="C28" s="43" t="n">
        <v>53.57</v>
      </c>
      <c r="D28" s="59" t="n"/>
      <c r="E28" s="26" t="n"/>
    </row>
    <row r="29" ht="13" customHeight="1">
      <c r="A29" s="6" t="n">
        <v>22600</v>
      </c>
      <c r="B29" s="41" t="n"/>
      <c r="C29" s="43" t="n">
        <v>52.22</v>
      </c>
      <c r="D29" s="59" t="n"/>
      <c r="E29" s="27" t="n"/>
    </row>
    <row r="30" ht="13" customHeight="1">
      <c r="A30" s="4" t="n">
        <v>22650</v>
      </c>
      <c r="B30" s="41" t="n">
        <v>87.84999999999999</v>
      </c>
      <c r="C30" s="43" t="n">
        <v>50.88</v>
      </c>
      <c r="D30" s="61" t="n">
        <v>-36.97</v>
      </c>
      <c r="E30" s="26" t="n"/>
    </row>
    <row r="31" ht="13" customHeight="1">
      <c r="A31" s="6" t="n">
        <v>22700</v>
      </c>
      <c r="B31" s="41" t="n"/>
      <c r="C31" s="43" t="n">
        <v>50.08</v>
      </c>
      <c r="D31" s="59" t="n"/>
      <c r="E31" s="27" t="n"/>
    </row>
    <row r="32" ht="13" customHeight="1">
      <c r="A32" s="4" t="n">
        <v>22750</v>
      </c>
      <c r="B32" s="41" t="n"/>
      <c r="C32" s="43" t="n">
        <v>48.73</v>
      </c>
      <c r="D32" s="59" t="n"/>
      <c r="E32" s="26" t="n"/>
    </row>
    <row r="33" ht="13" customHeight="1">
      <c r="A33" s="6" t="n">
        <v>22800</v>
      </c>
      <c r="B33" s="41" t="n">
        <v>72.36</v>
      </c>
      <c r="C33" s="43" t="n">
        <v>49.5</v>
      </c>
      <c r="D33" s="61" t="n">
        <v>-22.86</v>
      </c>
      <c r="E33" s="27" t="n"/>
    </row>
    <row r="34" ht="13" customHeight="1">
      <c r="A34" s="4" t="n">
        <v>22850</v>
      </c>
      <c r="B34" s="41" t="n"/>
      <c r="C34" s="43" t="n">
        <v>48.44</v>
      </c>
      <c r="D34" s="59" t="n"/>
      <c r="E34" s="26" t="n"/>
    </row>
    <row r="35" ht="13" customHeight="1">
      <c r="A35" s="6" t="n">
        <v>22900</v>
      </c>
      <c r="B35" s="41" t="n"/>
      <c r="C35" s="43" t="n">
        <v>46.32</v>
      </c>
      <c r="D35" s="59" t="n"/>
      <c r="E35" s="27" t="n"/>
    </row>
    <row r="36" ht="13" customHeight="1">
      <c r="A36" s="4" t="n">
        <v>22950</v>
      </c>
      <c r="B36" s="41" t="n">
        <v>24.31</v>
      </c>
      <c r="C36" s="43" t="n">
        <v>45.6</v>
      </c>
      <c r="D36" s="60" t="n">
        <v>21.29</v>
      </c>
      <c r="E36" s="26" t="n"/>
    </row>
    <row r="37" ht="13" customHeight="1">
      <c r="A37" s="6" t="n">
        <v>23000</v>
      </c>
      <c r="B37" s="41" t="n"/>
      <c r="C37" s="43" t="n">
        <v>44.48</v>
      </c>
      <c r="D37" s="59" t="n"/>
      <c r="E37" s="27" t="n"/>
    </row>
    <row r="38" ht="13" customHeight="1">
      <c r="A38" s="4" t="n">
        <v>23050</v>
      </c>
      <c r="B38" s="41" t="n"/>
      <c r="C38" s="43" t="n">
        <v>43.05</v>
      </c>
      <c r="D38" s="59" t="n"/>
      <c r="E38" s="26" t="n"/>
    </row>
    <row r="39" ht="13" customHeight="1">
      <c r="A39" s="6" t="n">
        <v>23100</v>
      </c>
      <c r="B39" s="41" t="n"/>
      <c r="C39" s="43" t="n">
        <v>42.16</v>
      </c>
      <c r="D39" s="59" t="n"/>
      <c r="E39" s="27" t="n"/>
    </row>
    <row r="40" ht="13" customHeight="1">
      <c r="A40" s="4" t="n">
        <v>23150</v>
      </c>
      <c r="B40" s="41" t="n"/>
      <c r="C40" s="43" t="n">
        <v>40.46</v>
      </c>
      <c r="D40" s="59" t="n"/>
      <c r="E40" s="26" t="n"/>
    </row>
    <row r="41" ht="13" customHeight="1">
      <c r="A41" s="6" t="n">
        <v>23200</v>
      </c>
      <c r="B41" s="41" t="n"/>
      <c r="C41" s="43" t="n">
        <v>39.96</v>
      </c>
      <c r="D41" s="59" t="n"/>
      <c r="E41" s="27" t="n"/>
    </row>
    <row r="42" ht="13" customHeight="1">
      <c r="A42" s="4" t="n">
        <v>23250</v>
      </c>
      <c r="B42" s="41" t="n"/>
      <c r="C42" s="43" t="n">
        <v>38.27</v>
      </c>
      <c r="D42" s="59" t="n"/>
      <c r="E42" s="26" t="n"/>
    </row>
    <row r="43" ht="13" customHeight="1">
      <c r="A43" s="6" t="n">
        <v>23300</v>
      </c>
      <c r="B43" s="41" t="n"/>
      <c r="C43" s="43" t="n">
        <v>37.79</v>
      </c>
      <c r="D43" s="59" t="n"/>
      <c r="E43" s="27" t="n"/>
    </row>
    <row r="44" ht="13" customHeight="1">
      <c r="A44" s="4" t="n">
        <v>23350</v>
      </c>
      <c r="B44" s="41" t="n"/>
      <c r="C44" s="43" t="n">
        <v>36.63</v>
      </c>
      <c r="D44" s="59" t="n"/>
      <c r="E44" s="26" t="n"/>
    </row>
    <row r="45" ht="13" customHeight="1">
      <c r="A45" s="6" t="n">
        <v>23400</v>
      </c>
      <c r="B45" s="41" t="n"/>
      <c r="C45" s="43" t="n">
        <v>34.61</v>
      </c>
      <c r="D45" s="59" t="n"/>
      <c r="E45" s="27" t="n"/>
    </row>
    <row r="46" ht="13" customHeight="1">
      <c r="A46" s="4" t="n">
        <v>23450</v>
      </c>
      <c r="B46" s="41" t="n"/>
      <c r="C46" s="43" t="n">
        <v>32.93</v>
      </c>
      <c r="D46" s="59" t="n"/>
      <c r="E46" s="26" t="n"/>
    </row>
    <row r="47" ht="13" customHeight="1">
      <c r="A47" s="6" t="n">
        <v>23500</v>
      </c>
      <c r="B47" s="41" t="n"/>
      <c r="C47" s="43" t="n">
        <v>32.36</v>
      </c>
      <c r="D47" s="59" t="n"/>
      <c r="E47" s="27" t="n"/>
    </row>
    <row r="48" ht="13" customHeight="1">
      <c r="A48" s="4" t="n">
        <v>23550</v>
      </c>
      <c r="B48" s="41" t="n"/>
      <c r="C48" s="43" t="n">
        <v>30.96</v>
      </c>
      <c r="D48" s="59" t="n"/>
      <c r="E48" s="26" t="n"/>
    </row>
    <row r="49" ht="13" customHeight="1">
      <c r="A49" s="6" t="n">
        <v>23600</v>
      </c>
      <c r="B49" s="41" t="n"/>
      <c r="C49" s="43" t="n">
        <v>30.02</v>
      </c>
      <c r="D49" s="59" t="n"/>
      <c r="E49" s="27" t="n"/>
    </row>
    <row r="50" ht="13" customHeight="1">
      <c r="A50" s="4" t="n">
        <v>23650</v>
      </c>
      <c r="B50" s="41" t="n"/>
      <c r="C50" s="43" t="n">
        <v>28.43</v>
      </c>
      <c r="D50" s="59" t="n"/>
      <c r="E50" s="26" t="n"/>
    </row>
    <row r="51" ht="13" customHeight="1">
      <c r="A51" s="6" t="n">
        <v>23700</v>
      </c>
      <c r="B51" s="41" t="n"/>
      <c r="C51" s="43" t="n">
        <v>27.45</v>
      </c>
      <c r="D51" s="59" t="n"/>
      <c r="E51" s="27" t="n"/>
    </row>
    <row r="52" ht="13" customHeight="1">
      <c r="A52" s="4" t="n">
        <v>23750</v>
      </c>
      <c r="B52" s="41" t="n"/>
      <c r="C52" s="43" t="n">
        <v>26.18</v>
      </c>
      <c r="D52" s="59" t="n"/>
      <c r="E52" s="26" t="n"/>
    </row>
    <row r="53" ht="13" customHeight="1">
      <c r="A53" s="6" t="n">
        <v>23800</v>
      </c>
      <c r="B53" s="41" t="n"/>
      <c r="C53" s="43" t="n">
        <v>25.15</v>
      </c>
      <c r="D53" s="59" t="n"/>
      <c r="E53" s="27" t="n"/>
    </row>
    <row r="54" ht="13" customHeight="1">
      <c r="A54" s="4" t="n">
        <v>23850</v>
      </c>
      <c r="B54" s="41" t="n"/>
      <c r="C54" s="43" t="n">
        <v>23.93</v>
      </c>
      <c r="D54" s="59" t="n"/>
      <c r="E54" s="26" t="n"/>
    </row>
    <row r="55" ht="13" customHeight="1">
      <c r="A55" s="6" t="n">
        <v>23900</v>
      </c>
      <c r="B55" s="41" t="n"/>
      <c r="C55" s="43" t="n">
        <v>22.84</v>
      </c>
      <c r="D55" s="59" t="n"/>
      <c r="E55" s="27" t="n"/>
    </row>
    <row r="56" ht="13" customHeight="1">
      <c r="A56" s="4" t="n">
        <v>23950</v>
      </c>
      <c r="B56" s="41" t="n"/>
      <c r="C56" s="43" t="n">
        <v>21.6</v>
      </c>
      <c r="D56" s="59" t="n"/>
      <c r="E56" s="26" t="n"/>
    </row>
    <row r="57" ht="13" customHeight="1">
      <c r="A57" s="6" t="n">
        <v>24000</v>
      </c>
      <c r="B57" s="41" t="n"/>
      <c r="C57" s="43" t="n">
        <v>20.53</v>
      </c>
      <c r="D57" s="59" t="n"/>
      <c r="E57" s="27" t="n"/>
    </row>
    <row r="58" ht="13" customHeight="1">
      <c r="A58" s="4" t="n">
        <v>24050</v>
      </c>
      <c r="B58" s="41" t="n"/>
      <c r="C58" s="43" t="n">
        <v>19.08</v>
      </c>
      <c r="D58" s="59" t="n"/>
      <c r="E58" s="26" t="n"/>
    </row>
    <row r="59" ht="13" customHeight="1">
      <c r="A59" s="6" t="n">
        <v>24100</v>
      </c>
      <c r="B59" s="41" t="n"/>
      <c r="C59" s="43" t="n">
        <v>17.79</v>
      </c>
      <c r="D59" s="59" t="n"/>
      <c r="E59" s="27" t="n"/>
    </row>
    <row r="60" ht="13" customHeight="1">
      <c r="A60" s="4" t="n">
        <v>24150</v>
      </c>
      <c r="B60" s="41" t="n"/>
      <c r="C60" s="43" t="n">
        <v>16.63</v>
      </c>
      <c r="D60" s="59" t="n"/>
      <c r="E60" s="26" t="n"/>
    </row>
    <row r="61" ht="13" customHeight="1">
      <c r="A61" s="6" t="n">
        <v>24200</v>
      </c>
      <c r="B61" s="41" t="n"/>
      <c r="C61" s="43" t="n">
        <v>15.53</v>
      </c>
      <c r="D61" s="59" t="n"/>
      <c r="E61" s="27" t="n"/>
    </row>
    <row r="62" ht="13" customHeight="1">
      <c r="A62" s="4" t="n">
        <v>24250</v>
      </c>
      <c r="B62" s="41" t="n"/>
      <c r="C62" s="43" t="n">
        <v>14.44</v>
      </c>
      <c r="D62" s="59" t="n"/>
      <c r="E62" s="26" t="n"/>
    </row>
    <row r="63" ht="13" customHeight="1">
      <c r="A63" s="6" t="n">
        <v>24300</v>
      </c>
      <c r="B63" s="41" t="n">
        <v>7.7</v>
      </c>
      <c r="C63" s="43" t="n">
        <v>13.72</v>
      </c>
      <c r="D63" s="60" t="n">
        <v>6.02</v>
      </c>
      <c r="E63" s="27" t="n"/>
    </row>
    <row r="64" ht="13" customHeight="1">
      <c r="A64" s="4" t="n">
        <v>24350</v>
      </c>
      <c r="B64" s="41" t="n">
        <v>8.9</v>
      </c>
      <c r="C64" s="43" t="n">
        <v>13.19</v>
      </c>
      <c r="D64" s="60" t="n">
        <v>4.29</v>
      </c>
      <c r="E64" s="26" t="n"/>
    </row>
    <row r="65" ht="13" customHeight="1">
      <c r="A65" s="45" t="n">
        <v>24400</v>
      </c>
      <c r="B65" s="47" t="n">
        <v>9.460000000000001</v>
      </c>
      <c r="C65" s="47" t="n">
        <v>13</v>
      </c>
      <c r="D65" s="60" t="n">
        <v>3.54</v>
      </c>
      <c r="E65" s="62" t="n"/>
    </row>
    <row r="66" ht="13" customHeight="1">
      <c r="A66" s="4" t="n">
        <v>24450</v>
      </c>
      <c r="B66" s="41" t="n">
        <v>9.98</v>
      </c>
      <c r="C66" s="43" t="n">
        <v>13.3</v>
      </c>
      <c r="D66" s="60" t="n">
        <v>3.32</v>
      </c>
      <c r="E66" s="26" t="n"/>
    </row>
    <row r="67" ht="13" customHeight="1">
      <c r="A67" s="6" t="n">
        <v>24500</v>
      </c>
      <c r="B67" s="41" t="n">
        <v>10.22</v>
      </c>
      <c r="C67" s="43" t="n">
        <v>13.93</v>
      </c>
      <c r="D67" s="60" t="n">
        <v>3.71</v>
      </c>
      <c r="E67" s="27" t="n"/>
    </row>
    <row r="68" ht="13" customHeight="1">
      <c r="A68" s="4" t="n">
        <v>24550</v>
      </c>
      <c r="B68" s="41" t="n">
        <v>10.54</v>
      </c>
      <c r="C68" s="43" t="n">
        <v>14.89</v>
      </c>
      <c r="D68" s="60" t="n">
        <v>4.35</v>
      </c>
      <c r="E68" s="26" t="n"/>
    </row>
    <row r="69" ht="13" customHeight="1">
      <c r="A69" s="6" t="n">
        <v>24600</v>
      </c>
      <c r="B69" s="41" t="n">
        <v>10.89</v>
      </c>
      <c r="C69" s="43" t="n">
        <v>16.05</v>
      </c>
      <c r="D69" s="60" t="n">
        <v>5.16</v>
      </c>
      <c r="E69" s="27" t="n"/>
    </row>
    <row r="70" ht="13" customHeight="1">
      <c r="A70" s="4" t="n">
        <v>24650</v>
      </c>
      <c r="B70" s="41" t="n">
        <v>11.22</v>
      </c>
      <c r="C70" s="43" t="n">
        <v>18.29</v>
      </c>
      <c r="D70" s="60" t="n">
        <v>7.07</v>
      </c>
      <c r="E70" s="26" t="n"/>
    </row>
    <row r="71" ht="13" customHeight="1">
      <c r="A71" s="6" t="n">
        <v>24700</v>
      </c>
      <c r="B71" s="41" t="n">
        <v>12.01</v>
      </c>
      <c r="C71" s="43" t="n">
        <v>20.34</v>
      </c>
      <c r="D71" s="60" t="n">
        <v>8.33</v>
      </c>
      <c r="E71" s="27" t="n"/>
    </row>
    <row r="72" ht="13" customHeight="1">
      <c r="A72" s="4" t="n">
        <v>24750</v>
      </c>
      <c r="B72" s="41" t="n">
        <v>12.52</v>
      </c>
      <c r="C72" s="43" t="n">
        <v>21.64</v>
      </c>
      <c r="D72" s="60" t="n">
        <v>9.119999999999999</v>
      </c>
      <c r="E72" s="26" t="n"/>
    </row>
    <row r="73" ht="13" customHeight="1">
      <c r="A73" s="6" t="n">
        <v>24800</v>
      </c>
      <c r="B73" s="41" t="n">
        <v>13.8</v>
      </c>
      <c r="C73" s="43" t="n">
        <v>24</v>
      </c>
      <c r="D73" s="60" t="n">
        <v>10.2</v>
      </c>
      <c r="E73" s="27" t="n"/>
    </row>
    <row r="74" ht="13" customHeight="1">
      <c r="A74" s="4" t="n">
        <v>24850</v>
      </c>
      <c r="B74" s="41" t="n">
        <v>15.02</v>
      </c>
      <c r="C74" s="43" t="n">
        <v>26.6</v>
      </c>
      <c r="D74" s="60" t="n">
        <v>11.58</v>
      </c>
      <c r="E74" s="26" t="n"/>
    </row>
    <row r="75" ht="13" customHeight="1">
      <c r="A75" s="6" t="n">
        <v>24900</v>
      </c>
      <c r="B75" s="41" t="n">
        <v>15.76</v>
      </c>
      <c r="C75" s="43" t="n">
        <v>29.29</v>
      </c>
      <c r="D75" s="60" t="n">
        <v>13.53</v>
      </c>
      <c r="E75" s="27" t="n"/>
    </row>
    <row r="76" ht="13" customHeight="1">
      <c r="A76" s="4" t="n">
        <v>24950</v>
      </c>
      <c r="B76" s="41" t="n">
        <v>17.07</v>
      </c>
      <c r="C76" s="43" t="n">
        <v>32.61</v>
      </c>
      <c r="D76" s="60" t="n">
        <v>15.54</v>
      </c>
      <c r="E76" s="26" t="n"/>
    </row>
    <row r="77" ht="13" customHeight="1">
      <c r="A77" s="6" t="n">
        <v>25000</v>
      </c>
      <c r="B77" s="41" t="n">
        <v>18.5</v>
      </c>
      <c r="C77" s="43" t="n">
        <v>32.28</v>
      </c>
      <c r="D77" s="60" t="n">
        <v>13.78</v>
      </c>
      <c r="E77" s="27" t="n"/>
    </row>
    <row r="78" ht="13" customHeight="1">
      <c r="A78" s="4" t="n">
        <v>25050</v>
      </c>
      <c r="B78" s="41" t="n">
        <v>19.56</v>
      </c>
      <c r="C78" s="43" t="n">
        <v>35.15</v>
      </c>
      <c r="D78" s="60" t="n">
        <v>15.59</v>
      </c>
      <c r="E78" s="26" t="n"/>
    </row>
    <row r="79" ht="13" customHeight="1">
      <c r="A79" s="6" t="n">
        <v>25100</v>
      </c>
      <c r="B79" s="41" t="n">
        <v>20.75</v>
      </c>
      <c r="C79" s="43" t="n">
        <v>36.84</v>
      </c>
      <c r="D79" s="60" t="n">
        <v>16.09</v>
      </c>
      <c r="E79" s="27" t="n"/>
    </row>
    <row r="80" ht="13" customHeight="1">
      <c r="A80" s="4" t="n">
        <v>25150</v>
      </c>
      <c r="B80" s="41" t="n">
        <v>22.1</v>
      </c>
      <c r="C80" s="43" t="n">
        <v>39.51</v>
      </c>
      <c r="D80" s="60" t="n">
        <v>17.41</v>
      </c>
      <c r="E80" s="26" t="n"/>
    </row>
    <row r="81" ht="13" customHeight="1">
      <c r="A81" s="6" t="n">
        <v>25200</v>
      </c>
      <c r="B81" s="41" t="n">
        <v>23.21</v>
      </c>
      <c r="C81" s="43" t="n">
        <v>40.64</v>
      </c>
      <c r="D81" s="60" t="n">
        <v>17.43</v>
      </c>
      <c r="E81" s="27" t="n"/>
    </row>
    <row r="82" ht="13" customHeight="1">
      <c r="A82" s="4" t="n">
        <v>25250</v>
      </c>
      <c r="B82" s="41" t="n">
        <v>24.54</v>
      </c>
      <c r="C82" s="43" t="n"/>
      <c r="D82" s="59" t="n"/>
      <c r="E82" s="26" t="n"/>
    </row>
    <row r="83" ht="13" customHeight="1">
      <c r="A83" s="6" t="n">
        <v>25300</v>
      </c>
      <c r="B83" s="41" t="n">
        <v>25.85</v>
      </c>
      <c r="C83" s="43" t="n">
        <v>45.59</v>
      </c>
      <c r="D83" s="60" t="n">
        <v>19.74</v>
      </c>
      <c r="E83" s="27" t="n"/>
    </row>
    <row r="84" ht="13" customHeight="1">
      <c r="A84" s="4" t="n">
        <v>25350</v>
      </c>
      <c r="B84" s="41" t="n">
        <v>27.15</v>
      </c>
      <c r="C84" s="43" t="n">
        <v>25.13</v>
      </c>
      <c r="D84" s="61" t="n">
        <v>-2.02</v>
      </c>
      <c r="E84" s="26" t="n"/>
    </row>
    <row r="85" ht="13" customHeight="1">
      <c r="A85" s="6" t="n">
        <v>25400</v>
      </c>
      <c r="B85" s="41" t="n">
        <v>27.84</v>
      </c>
      <c r="C85" s="43" t="n">
        <v>42.98</v>
      </c>
      <c r="D85" s="60" t="n">
        <v>15.14</v>
      </c>
      <c r="E85" s="27" t="n"/>
    </row>
    <row r="86" ht="13" customHeight="1">
      <c r="A86" s="4" t="n">
        <v>25450</v>
      </c>
      <c r="B86" s="41" t="n">
        <v>29.73</v>
      </c>
      <c r="C86" s="43" t="n">
        <v>28.19</v>
      </c>
      <c r="D86" s="59" t="n">
        <v>-1.54</v>
      </c>
      <c r="E86" s="26" t="n"/>
    </row>
    <row r="87" ht="13" customHeight="1">
      <c r="A87" s="6" t="n">
        <v>25500</v>
      </c>
      <c r="B87" s="41" t="n">
        <v>31.01</v>
      </c>
      <c r="C87" s="43" t="n">
        <v>54.25</v>
      </c>
      <c r="D87" s="60" t="n">
        <v>23.24</v>
      </c>
      <c r="E87" s="27" t="n"/>
    </row>
    <row r="88" ht="13" customHeight="1">
      <c r="A88" s="4" t="n">
        <v>25550</v>
      </c>
      <c r="B88" s="41" t="n">
        <v>31.96</v>
      </c>
      <c r="C88" s="43" t="n">
        <v>28.91</v>
      </c>
      <c r="D88" s="61" t="n">
        <v>-3.05</v>
      </c>
      <c r="E88" s="26" t="n"/>
    </row>
    <row r="89" ht="13" customHeight="1">
      <c r="A89" s="6" t="n">
        <v>25600</v>
      </c>
      <c r="B89" s="41" t="n">
        <v>32.46</v>
      </c>
      <c r="C89" s="43" t="n"/>
      <c r="D89" s="59" t="n"/>
      <c r="E89" s="27" t="n"/>
    </row>
    <row r="90" ht="13" customHeight="1">
      <c r="A90" s="4" t="n">
        <v>25650</v>
      </c>
      <c r="B90" s="41" t="n">
        <v>33.69</v>
      </c>
      <c r="C90" s="43" t="n">
        <v>27.61</v>
      </c>
      <c r="D90" s="61" t="n">
        <v>-6.08</v>
      </c>
      <c r="E90" s="26" t="n"/>
    </row>
    <row r="91" ht="13" customHeight="1">
      <c r="A91" s="6" t="n">
        <v>25700</v>
      </c>
      <c r="B91" s="41" t="n">
        <v>34.45</v>
      </c>
      <c r="C91" s="43" t="n">
        <v>61.9</v>
      </c>
      <c r="D91" s="60" t="n">
        <v>27.45</v>
      </c>
      <c r="E91" s="27" t="n"/>
    </row>
    <row r="92" ht="13" customHeight="1">
      <c r="A92" s="4" t="n">
        <v>25750</v>
      </c>
      <c r="B92" s="41" t="n">
        <v>35.64</v>
      </c>
      <c r="C92" s="43" t="n"/>
      <c r="D92" s="59" t="n"/>
      <c r="E92" s="26" t="n"/>
    </row>
    <row r="93" ht="13" customHeight="1">
      <c r="A93" s="6" t="n">
        <v>25800</v>
      </c>
      <c r="B93" s="41" t="n">
        <v>36.83</v>
      </c>
      <c r="C93" s="43" t="n">
        <v>72.90000000000001</v>
      </c>
      <c r="D93" s="60" t="n">
        <v>36.07</v>
      </c>
      <c r="E93" s="27" t="n"/>
    </row>
    <row r="94" ht="13" customHeight="1">
      <c r="A94" s="4" t="n">
        <v>25850</v>
      </c>
      <c r="B94" s="41" t="n">
        <v>37.47</v>
      </c>
      <c r="C94" s="43" t="n"/>
      <c r="D94" s="59" t="n"/>
      <c r="E94" s="26" t="n"/>
    </row>
    <row r="95" ht="13" customHeight="1">
      <c r="A95" s="6" t="n">
        <v>25900</v>
      </c>
      <c r="B95" s="41" t="n">
        <v>38</v>
      </c>
      <c r="C95" s="43" t="n"/>
      <c r="D95" s="59" t="n"/>
      <c r="E95" s="27" t="n"/>
    </row>
    <row r="96" ht="13" customHeight="1">
      <c r="A96" s="4" t="n">
        <v>25950</v>
      </c>
      <c r="B96" s="41" t="n">
        <v>40.37</v>
      </c>
      <c r="C96" s="43" t="n"/>
      <c r="D96" s="59" t="n"/>
      <c r="E96" s="26" t="n"/>
    </row>
    <row r="97" ht="13" customHeight="1">
      <c r="A97" s="6" t="n">
        <v>26000</v>
      </c>
      <c r="B97" s="41" t="n">
        <v>42.54</v>
      </c>
      <c r="C97" s="43" t="n">
        <v>72.54000000000001</v>
      </c>
      <c r="D97" s="60" t="n">
        <v>30</v>
      </c>
      <c r="E97" s="27" t="n"/>
    </row>
    <row r="98" ht="13" customHeight="1">
      <c r="A98" s="4" t="n">
        <v>26050</v>
      </c>
      <c r="B98" s="41" t="n">
        <v>43.24</v>
      </c>
      <c r="C98" s="43" t="n"/>
      <c r="D98" s="59" t="n"/>
      <c r="E98" s="26" t="n"/>
    </row>
    <row r="99" ht="13" customHeight="1">
      <c r="A99" s="6" t="n">
        <v>26100</v>
      </c>
      <c r="B99" s="41" t="n">
        <v>44.91</v>
      </c>
      <c r="C99" s="43" t="n"/>
      <c r="D99" s="59" t="n"/>
      <c r="E99" s="27" t="n"/>
    </row>
    <row r="100" ht="13" customHeight="1">
      <c r="A100" s="4" t="n">
        <v>26150</v>
      </c>
      <c r="B100" s="41" t="n">
        <v>45</v>
      </c>
      <c r="C100" s="43" t="n"/>
      <c r="D100" s="59" t="n"/>
      <c r="E100" s="26" t="n"/>
    </row>
    <row r="101" ht="13" customHeight="1">
      <c r="A101" s="6" t="n">
        <v>26200</v>
      </c>
      <c r="B101" s="41" t="n">
        <v>45.51</v>
      </c>
      <c r="C101" s="43" t="n">
        <v>68.58</v>
      </c>
      <c r="D101" s="60" t="n">
        <v>23.07</v>
      </c>
      <c r="E101" s="27" t="n"/>
    </row>
    <row r="102" ht="13" customHeight="1">
      <c r="A102" s="4" t="n">
        <v>26250</v>
      </c>
      <c r="B102" s="41" t="n">
        <v>46.64</v>
      </c>
      <c r="C102" s="43" t="n"/>
      <c r="D102" s="59" t="n"/>
      <c r="E102" s="26" t="n"/>
    </row>
    <row r="103" ht="13" customHeight="1">
      <c r="A103" s="6" t="n">
        <v>26300</v>
      </c>
      <c r="B103" s="41" t="n">
        <v>47</v>
      </c>
      <c r="C103" s="43" t="n">
        <v>52.5</v>
      </c>
      <c r="D103" s="60" t="n">
        <v>5.5</v>
      </c>
      <c r="E103" s="27" t="n"/>
    </row>
  </sheetData>
  <mergeCells count="2">
    <mergeCell ref="A1:E1"/>
    <mergeCell ref="B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6" customWidth="1" min="9" max="9"/>
  </cols>
  <sheetData>
    <row r="1" ht="22" customHeight="1">
      <c r="A1" s="1" t="inlineStr">
        <is>
          <t>NSE FAO — Composite Sentiment Summary</t>
        </is>
      </c>
    </row>
    <row r="2" ht="28" customHeight="1">
      <c r="A2" s="49" t="inlineStr">
        <is>
          <t>Participant</t>
        </is>
      </c>
      <c r="B2" s="49" t="inlineStr">
        <is>
          <t>Signal</t>
        </is>
      </c>
      <c r="C2" s="49" t="inlineStr">
        <is>
          <t>Jun 30 2026</t>
        </is>
      </c>
      <c r="D2" s="49" t="inlineStr">
        <is>
          <t>Jul 01 2026</t>
        </is>
      </c>
      <c r="E2" s="49" t="inlineStr">
        <is>
          <t>Jul 02 2026</t>
        </is>
      </c>
      <c r="F2" s="49" t="inlineStr">
        <is>
          <t>Jul 03 2026</t>
        </is>
      </c>
      <c r="G2" s="49" t="inlineStr">
        <is>
          <t>Jul 06 2026</t>
        </is>
      </c>
      <c r="H2" s="49" t="inlineStr">
        <is>
          <t>Latest Signal</t>
        </is>
      </c>
      <c r="I2" s="49" t="inlineStr">
        <is>
          <t>Interpretation</t>
        </is>
      </c>
    </row>
    <row r="3" ht="16" customHeight="1">
      <c r="A3" s="14" t="inlineStr">
        <is>
          <t>Client</t>
        </is>
      </c>
    </row>
    <row r="4" ht="14" customHeight="1">
      <c r="A4" s="17" t="inlineStr"/>
      <c r="B4" s="25" t="inlineStr">
        <is>
          <t>Fut Index Net OI</t>
        </is>
      </c>
      <c r="C4" s="63">
        <f>IF('Raw OI Data'!C3-'Raw OI Data'!D3&gt;0,"▲ Net Long","▼ Net Short")</f>
        <v/>
      </c>
      <c r="D4" s="63">
        <f>IF('Raw OI Data'!C7-'Raw OI Data'!D7&gt;0,"▲ Net Long","▼ Net Short")</f>
        <v/>
      </c>
      <c r="E4" s="63">
        <f>IF('Raw OI Data'!C11-'Raw OI Data'!D11&gt;0,"▲ Net Long","▼ Net Short")</f>
        <v/>
      </c>
      <c r="F4" s="63">
        <f>IF('Raw OI Data'!C15-'Raw OI Data'!D15&gt;0,"▲ Net Long","▼ Net Short")</f>
        <v/>
      </c>
      <c r="G4" s="63">
        <f>IF('Raw OI Data'!C19-'Raw OI Data'!D19&gt;0,"▲ Net Long","▼ Net Short")</f>
        <v/>
      </c>
      <c r="H4" s="63">
        <f>G4</f>
        <v/>
      </c>
      <c r="I4" s="64" t="inlineStr"/>
    </row>
    <row r="5" ht="14" customHeight="1">
      <c r="A5" s="15" t="inlineStr"/>
      <c r="B5" s="25" t="inlineStr">
        <is>
          <t>Fut Stock Net OI</t>
        </is>
      </c>
      <c r="C5" s="65">
        <f>IF('Raw OI Data'!E3-'Raw OI Data'!F3&gt;0,"▲ Net Long","▼ Net Short")</f>
        <v/>
      </c>
      <c r="D5" s="65">
        <f>IF('Raw OI Data'!E7-'Raw OI Data'!F7&gt;0,"▲ Net Long","▼ Net Short")</f>
        <v/>
      </c>
      <c r="E5" s="65">
        <f>IF('Raw OI Data'!E11-'Raw OI Data'!F11&gt;0,"▲ Net Long","▼ Net Short")</f>
        <v/>
      </c>
      <c r="F5" s="65">
        <f>IF('Raw OI Data'!E15-'Raw OI Data'!F15&gt;0,"▲ Net Long","▼ Net Short")</f>
        <v/>
      </c>
      <c r="G5" s="65">
        <f>IF('Raw OI Data'!E19-'Raw OI Data'!F19&gt;0,"▲ Net Long","▼ Net Short")</f>
        <v/>
      </c>
      <c r="H5" s="65">
        <f>G5</f>
        <v/>
      </c>
      <c r="I5" s="66" t="inlineStr"/>
    </row>
    <row r="6" ht="14" customHeight="1">
      <c r="A6" s="17" t="inlineStr"/>
      <c r="B6" s="25" t="inlineStr">
        <is>
          <t>Index OI PCR</t>
        </is>
      </c>
      <c r="C6" s="67">
        <f>IFERROR('Raw OI Data'!H3/'Raw OI Data'!G3,0)</f>
        <v/>
      </c>
      <c r="D6" s="67">
        <f>IFERROR('Raw OI Data'!H7/'Raw OI Data'!G7,0)</f>
        <v/>
      </c>
      <c r="E6" s="67">
        <f>IFERROR('Raw OI Data'!H11/'Raw OI Data'!G11,0)</f>
        <v/>
      </c>
      <c r="F6" s="67">
        <f>IFERROR('Raw OI Data'!H15/'Raw OI Data'!G15,0)</f>
        <v/>
      </c>
      <c r="G6" s="67">
        <f>IFERROR('Raw OI Data'!H19/'Raw OI Data'!G19,0)</f>
        <v/>
      </c>
      <c r="H6" s="67">
        <f>G6</f>
        <v/>
      </c>
      <c r="I6" s="64" t="inlineStr"/>
    </row>
    <row r="7" ht="14" customHeight="1">
      <c r="A7" s="15" t="inlineStr"/>
      <c r="B7" s="25" t="inlineStr">
        <is>
          <t>Total L/S Ratio</t>
        </is>
      </c>
      <c r="C7" s="68">
        <f>IFERROR('Raw OI Data'!O3/'Raw OI Data'!P3,0)</f>
        <v/>
      </c>
      <c r="D7" s="68">
        <f>IFERROR('Raw OI Data'!O7/'Raw OI Data'!P7,0)</f>
        <v/>
      </c>
      <c r="E7" s="68">
        <f>IFERROR('Raw OI Data'!O11/'Raw OI Data'!P11,0)</f>
        <v/>
      </c>
      <c r="F7" s="68">
        <f>IFERROR('Raw OI Data'!O15/'Raw OI Data'!P15,0)</f>
        <v/>
      </c>
      <c r="G7" s="68">
        <f>IFERROR('Raw OI Data'!O19/'Raw OI Data'!P19,0)</f>
        <v/>
      </c>
      <c r="H7" s="68">
        <f>G7</f>
        <v/>
      </c>
      <c r="I7" s="66" t="inlineStr"/>
    </row>
    <row r="8" ht="14" customHeight="1">
      <c r="A8" s="17" t="inlineStr"/>
      <c r="B8" s="50" t="inlineStr">
        <is>
          <t>Composite Signal</t>
        </is>
      </c>
      <c r="C8" s="69">
        <f>IF(AND(('Raw OI Data'!C3-'Raw OI Data'!D3)&gt;0,IFERROR('Raw OI Data'!H3/'Raw OI Data'!G3,1)&lt;1,IFERROR('Raw OI Data'!O3/'Raw OI Data'!P3,1)&gt;1),"🟢 Bullish",IF(AND(('Raw OI Data'!C3-'Raw OI Data'!D3)&lt;0,IFERROR('Raw OI Data'!H3/'Raw OI Data'!G3,1)&gt;1.5,IFERROR('Raw OI Data'!O3/'Raw OI Data'!P3,1)&lt;1),"🔴 Bearish",IF(AND(('Raw OI Data'!C3-'Raw OI Data'!D3)&lt;0,IFERROR('Raw OI Data'!H3/'Raw OI Data'!G3,1)&gt;1.2),"🟠 Cautious",IF(AND(('Raw OI Data'!C3-'Raw OI Data'!D3)&gt;0,IFERROR('Raw OI Data'!H3/'Raw OI Data'!G3,1)&lt;0.8),"🟢 Bullish","🟡 Neutral"))))</f>
        <v/>
      </c>
      <c r="D8" s="69">
        <f>IF(AND(('Raw OI Data'!C7-'Raw OI Data'!D7)&gt;0,IFERROR('Raw OI Data'!H7/'Raw OI Data'!G7,1)&lt;1,IFERROR('Raw OI Data'!O7/'Raw OI Data'!P7,1)&gt;1),"🟢 Bullish",IF(AND(('Raw OI Data'!C7-'Raw OI Data'!D7)&lt;0,IFERROR('Raw OI Data'!H7/'Raw OI Data'!G7,1)&gt;1.5,IFERROR('Raw OI Data'!O7/'Raw OI Data'!P7,1)&lt;1),"🔴 Bearish",IF(AND(('Raw OI Data'!C7-'Raw OI Data'!D7)&lt;0,IFERROR('Raw OI Data'!H7/'Raw OI Data'!G7,1)&gt;1.2),"🟠 Cautious",IF(AND(('Raw OI Data'!C7-'Raw OI Data'!D7)&gt;0,IFERROR('Raw OI Data'!H7/'Raw OI Data'!G7,1)&lt;0.8),"🟢 Bullish","🟡 Neutral"))))</f>
        <v/>
      </c>
      <c r="E8" s="69">
        <f>IF(AND(('Raw OI Data'!C11-'Raw OI Data'!D11)&gt;0,IFERROR('Raw OI Data'!H11/'Raw OI Data'!G11,1)&lt;1,IFERROR('Raw OI Data'!O11/'Raw OI Data'!P11,1)&gt;1),"🟢 Bullish",IF(AND(('Raw OI Data'!C11-'Raw OI Data'!D11)&lt;0,IFERROR('Raw OI Data'!H11/'Raw OI Data'!G11,1)&gt;1.5,IFERROR('Raw OI Data'!O11/'Raw OI Data'!P11,1)&lt;1),"🔴 Bearish",IF(AND(('Raw OI Data'!C11-'Raw OI Data'!D11)&lt;0,IFERROR('Raw OI Data'!H11/'Raw OI Data'!G11,1)&gt;1.2),"🟠 Cautious",IF(AND(('Raw OI Data'!C11-'Raw OI Data'!D11)&gt;0,IFERROR('Raw OI Data'!H11/'Raw OI Data'!G11,1)&lt;0.8),"🟢 Bullish","🟡 Neutral"))))</f>
        <v/>
      </c>
      <c r="F8" s="69">
        <f>IF(AND(('Raw OI Data'!C15-'Raw OI Data'!D15)&gt;0,IFERROR('Raw OI Data'!H15/'Raw OI Data'!G15,1)&lt;1,IFERROR('Raw OI Data'!O15/'Raw OI Data'!P15,1)&gt;1),"🟢 Bullish",IF(AND(('Raw OI Data'!C15-'Raw OI Data'!D15)&lt;0,IFERROR('Raw OI Data'!H15/'Raw OI Data'!G15,1)&gt;1.5,IFERROR('Raw OI Data'!O15/'Raw OI Data'!P15,1)&lt;1),"🔴 Bearish",IF(AND(('Raw OI Data'!C15-'Raw OI Data'!D15)&lt;0,IFERROR('Raw OI Data'!H15/'Raw OI Data'!G15,1)&gt;1.2),"🟠 Cautious",IF(AND(('Raw OI Data'!C15-'Raw OI Data'!D15)&gt;0,IFERROR('Raw OI Data'!H15/'Raw OI Data'!G15,1)&lt;0.8),"🟢 Bullish","🟡 Neutral"))))</f>
        <v/>
      </c>
      <c r="G8" s="69">
        <f>IF(AND(('Raw OI Data'!C19-'Raw OI Data'!D19)&gt;0,IFERROR('Raw OI Data'!H19/'Raw OI Data'!G19,1)&lt;1,IFERROR('Raw OI Data'!O19/'Raw OI Data'!P19,1)&gt;1),"🟢 Bullish",IF(AND(('Raw OI Data'!C19-'Raw OI Data'!D19)&lt;0,IFERROR('Raw OI Data'!H19/'Raw OI Data'!G19,1)&gt;1.5,IFERROR('Raw OI Data'!O19/'Raw OI Data'!P19,1)&lt;1),"🔴 Bearish",IF(AND(('Raw OI Data'!C19-'Raw OI Data'!D19)&lt;0,IFERROR('Raw OI Data'!H19/'Raw OI Data'!G19,1)&gt;1.2),"🟠 Cautious",IF(AND(('Raw OI Data'!C19-'Raw OI Data'!D19)&gt;0,IFERROR('Raw OI Data'!H19/'Raw OI Data'!G19,1)&lt;0.8),"🟢 Bullish","🟡 Neutral"))))</f>
        <v/>
      </c>
      <c r="H8" s="70">
        <f>G8</f>
        <v/>
      </c>
      <c r="I8" s="64" t="inlineStr">
        <is>
          <t>Retail — usually contra-indicator; track when extreme</t>
        </is>
      </c>
    </row>
    <row r="9" ht="16" customHeight="1">
      <c r="A9" s="14" t="inlineStr">
        <is>
          <t>DII</t>
        </is>
      </c>
    </row>
    <row r="10" ht="14" customHeight="1">
      <c r="A10" s="17" t="inlineStr"/>
      <c r="B10" s="25" t="inlineStr">
        <is>
          <t>Fut Index Net OI</t>
        </is>
      </c>
      <c r="C10" s="63">
        <f>IF('Raw OI Data'!C4-'Raw OI Data'!D4&gt;0,"▲ Net Long","▼ Net Short")</f>
        <v/>
      </c>
      <c r="D10" s="63">
        <f>IF('Raw OI Data'!C8-'Raw OI Data'!D8&gt;0,"▲ Net Long","▼ Net Short")</f>
        <v/>
      </c>
      <c r="E10" s="63">
        <f>IF('Raw OI Data'!C12-'Raw OI Data'!D12&gt;0,"▲ Net Long","▼ Net Short")</f>
        <v/>
      </c>
      <c r="F10" s="63">
        <f>IF('Raw OI Data'!C16-'Raw OI Data'!D16&gt;0,"▲ Net Long","▼ Net Short")</f>
        <v/>
      </c>
      <c r="G10" s="63">
        <f>IF('Raw OI Data'!C20-'Raw OI Data'!D20&gt;0,"▲ Net Long","▼ Net Short")</f>
        <v/>
      </c>
      <c r="H10" s="63">
        <f>G10</f>
        <v/>
      </c>
      <c r="I10" s="64" t="inlineStr"/>
    </row>
    <row r="11" ht="14" customHeight="1">
      <c r="A11" s="15" t="inlineStr"/>
      <c r="B11" s="25" t="inlineStr">
        <is>
          <t>Fut Stock Net OI</t>
        </is>
      </c>
      <c r="C11" s="65">
        <f>IF('Raw OI Data'!E4-'Raw OI Data'!F4&gt;0,"▲ Net Long","▼ Net Short")</f>
        <v/>
      </c>
      <c r="D11" s="65">
        <f>IF('Raw OI Data'!E8-'Raw OI Data'!F8&gt;0,"▲ Net Long","▼ Net Short")</f>
        <v/>
      </c>
      <c r="E11" s="65">
        <f>IF('Raw OI Data'!E12-'Raw OI Data'!F12&gt;0,"▲ Net Long","▼ Net Short")</f>
        <v/>
      </c>
      <c r="F11" s="65">
        <f>IF('Raw OI Data'!E16-'Raw OI Data'!F16&gt;0,"▲ Net Long","▼ Net Short")</f>
        <v/>
      </c>
      <c r="G11" s="65">
        <f>IF('Raw OI Data'!E20-'Raw OI Data'!F20&gt;0,"▲ Net Long","▼ Net Short")</f>
        <v/>
      </c>
      <c r="H11" s="65">
        <f>G11</f>
        <v/>
      </c>
      <c r="I11" s="66" t="inlineStr"/>
    </row>
    <row r="12" ht="14" customHeight="1">
      <c r="A12" s="17" t="inlineStr"/>
      <c r="B12" s="25" t="inlineStr">
        <is>
          <t>Index OI PCR</t>
        </is>
      </c>
      <c r="C12" s="67">
        <f>IFERROR('Raw OI Data'!H4/'Raw OI Data'!G4,0)</f>
        <v/>
      </c>
      <c r="D12" s="67">
        <f>IFERROR('Raw OI Data'!H8/'Raw OI Data'!G8,0)</f>
        <v/>
      </c>
      <c r="E12" s="67">
        <f>IFERROR('Raw OI Data'!H12/'Raw OI Data'!G12,0)</f>
        <v/>
      </c>
      <c r="F12" s="67">
        <f>IFERROR('Raw OI Data'!H16/'Raw OI Data'!G16,0)</f>
        <v/>
      </c>
      <c r="G12" s="67">
        <f>IFERROR('Raw OI Data'!H20/'Raw OI Data'!G20,0)</f>
        <v/>
      </c>
      <c r="H12" s="67">
        <f>G12</f>
        <v/>
      </c>
      <c r="I12" s="64" t="inlineStr"/>
    </row>
    <row r="13" ht="14" customHeight="1">
      <c r="A13" s="15" t="inlineStr"/>
      <c r="B13" s="25" t="inlineStr">
        <is>
          <t>Total L/S Ratio</t>
        </is>
      </c>
      <c r="C13" s="68">
        <f>IFERROR('Raw OI Data'!O4/'Raw OI Data'!P4,0)</f>
        <v/>
      </c>
      <c r="D13" s="68">
        <f>IFERROR('Raw OI Data'!O8/'Raw OI Data'!P8,0)</f>
        <v/>
      </c>
      <c r="E13" s="68">
        <f>IFERROR('Raw OI Data'!O12/'Raw OI Data'!P12,0)</f>
        <v/>
      </c>
      <c r="F13" s="68">
        <f>IFERROR('Raw OI Data'!O16/'Raw OI Data'!P16,0)</f>
        <v/>
      </c>
      <c r="G13" s="68">
        <f>IFERROR('Raw OI Data'!O20/'Raw OI Data'!P20,0)</f>
        <v/>
      </c>
      <c r="H13" s="68">
        <f>G13</f>
        <v/>
      </c>
      <c r="I13" s="66" t="inlineStr"/>
    </row>
    <row r="14" ht="14" customHeight="1">
      <c r="A14" s="17" t="inlineStr"/>
      <c r="B14" s="50" t="inlineStr">
        <is>
          <t>Composite Signal</t>
        </is>
      </c>
      <c r="C14" s="69">
        <f>IF(AND(('Raw OI Data'!C4-'Raw OI Data'!D4)&gt;0,IFERROR('Raw OI Data'!H4/'Raw OI Data'!G4,1)&lt;1,IFERROR('Raw OI Data'!O4/'Raw OI Data'!P4,1)&gt;1),"🟢 Bullish",IF(AND(('Raw OI Data'!C4-'Raw OI Data'!D4)&lt;0,IFERROR('Raw OI Data'!H4/'Raw OI Data'!G4,1)&gt;1.5,IFERROR('Raw OI Data'!O4/'Raw OI Data'!P4,1)&lt;1),"🔴 Bearish",IF(AND(('Raw OI Data'!C4-'Raw OI Data'!D4)&lt;0,IFERROR('Raw OI Data'!H4/'Raw OI Data'!G4,1)&gt;1.2),"🟠 Cautious",IF(AND(('Raw OI Data'!C4-'Raw OI Data'!D4)&gt;0,IFERROR('Raw OI Data'!H4/'Raw OI Data'!G4,1)&lt;0.8),"🟢 Bullish","🟡 Neutral"))))</f>
        <v/>
      </c>
      <c r="D14" s="69">
        <f>IF(AND(('Raw OI Data'!C8-'Raw OI Data'!D8)&gt;0,IFERROR('Raw OI Data'!H8/'Raw OI Data'!G8,1)&lt;1,IFERROR('Raw OI Data'!O8/'Raw OI Data'!P8,1)&gt;1),"🟢 Bullish",IF(AND(('Raw OI Data'!C8-'Raw OI Data'!D8)&lt;0,IFERROR('Raw OI Data'!H8/'Raw OI Data'!G8,1)&gt;1.5,IFERROR('Raw OI Data'!O8/'Raw OI Data'!P8,1)&lt;1),"🔴 Bearish",IF(AND(('Raw OI Data'!C8-'Raw OI Data'!D8)&lt;0,IFERROR('Raw OI Data'!H8/'Raw OI Data'!G8,1)&gt;1.2),"🟠 Cautious",IF(AND(('Raw OI Data'!C8-'Raw OI Data'!D8)&gt;0,IFERROR('Raw OI Data'!H8/'Raw OI Data'!G8,1)&lt;0.8),"🟢 Bullish","🟡 Neutral"))))</f>
        <v/>
      </c>
      <c r="E14" s="69">
        <f>IF(AND(('Raw OI Data'!C12-'Raw OI Data'!D12)&gt;0,IFERROR('Raw OI Data'!H12/'Raw OI Data'!G12,1)&lt;1,IFERROR('Raw OI Data'!O12/'Raw OI Data'!P12,1)&gt;1),"🟢 Bullish",IF(AND(('Raw OI Data'!C12-'Raw OI Data'!D12)&lt;0,IFERROR('Raw OI Data'!H12/'Raw OI Data'!G12,1)&gt;1.5,IFERROR('Raw OI Data'!O12/'Raw OI Data'!P12,1)&lt;1),"🔴 Bearish",IF(AND(('Raw OI Data'!C12-'Raw OI Data'!D12)&lt;0,IFERROR('Raw OI Data'!H12/'Raw OI Data'!G12,1)&gt;1.2),"🟠 Cautious",IF(AND(('Raw OI Data'!C12-'Raw OI Data'!D12)&gt;0,IFERROR('Raw OI Data'!H12/'Raw OI Data'!G12,1)&lt;0.8),"🟢 Bullish","🟡 Neutral"))))</f>
        <v/>
      </c>
      <c r="F14" s="69">
        <f>IF(AND(('Raw OI Data'!C16-'Raw OI Data'!D16)&gt;0,IFERROR('Raw OI Data'!H16/'Raw OI Data'!G16,1)&lt;1,IFERROR('Raw OI Data'!O16/'Raw OI Data'!P16,1)&gt;1),"🟢 Bullish",IF(AND(('Raw OI Data'!C16-'Raw OI Data'!D16)&lt;0,IFERROR('Raw OI Data'!H16/'Raw OI Data'!G16,1)&gt;1.5,IFERROR('Raw OI Data'!O16/'Raw OI Data'!P16,1)&lt;1),"🔴 Bearish",IF(AND(('Raw OI Data'!C16-'Raw OI Data'!D16)&lt;0,IFERROR('Raw OI Data'!H16/'Raw OI Data'!G16,1)&gt;1.2),"🟠 Cautious",IF(AND(('Raw OI Data'!C16-'Raw OI Data'!D16)&gt;0,IFERROR('Raw OI Data'!H16/'Raw OI Data'!G16,1)&lt;0.8),"🟢 Bullish","🟡 Neutral"))))</f>
        <v/>
      </c>
      <c r="G14" s="69">
        <f>IF(AND(('Raw OI Data'!C20-'Raw OI Data'!D20)&gt;0,IFERROR('Raw OI Data'!H20/'Raw OI Data'!G20,1)&lt;1,IFERROR('Raw OI Data'!O20/'Raw OI Data'!P20,1)&gt;1),"🟢 Bullish",IF(AND(('Raw OI Data'!C20-'Raw OI Data'!D20)&lt;0,IFERROR('Raw OI Data'!H20/'Raw OI Data'!G20,1)&gt;1.5,IFERROR('Raw OI Data'!O20/'Raw OI Data'!P20,1)&lt;1),"🔴 Bearish",IF(AND(('Raw OI Data'!C20-'Raw OI Data'!D20)&lt;0,IFERROR('Raw OI Data'!H20/'Raw OI Data'!G20,1)&gt;1.2),"🟠 Cautious",IF(AND(('Raw OI Data'!C20-'Raw OI Data'!D20)&gt;0,IFERROR('Raw OI Data'!H20/'Raw OI Data'!G20,1)&lt;0.8),"🟢 Bullish","🟡 Neutral"))))</f>
        <v/>
      </c>
      <c r="H14" s="70">
        <f>G14</f>
        <v/>
      </c>
      <c r="I14" s="64" t="inlineStr">
        <is>
          <t>Domestic Institutions — typically hedged; PCR key</t>
        </is>
      </c>
    </row>
    <row r="15" ht="16" customHeight="1">
      <c r="A15" s="14" t="inlineStr">
        <is>
          <t>FII</t>
        </is>
      </c>
    </row>
    <row r="16" ht="14" customHeight="1">
      <c r="A16" s="17" t="inlineStr"/>
      <c r="B16" s="25" t="inlineStr">
        <is>
          <t>Fut Index Net OI</t>
        </is>
      </c>
      <c r="C16" s="63">
        <f>IF('Raw OI Data'!C5-'Raw OI Data'!D5&gt;0,"▲ Net Long","▼ Net Short")</f>
        <v/>
      </c>
      <c r="D16" s="63">
        <f>IF('Raw OI Data'!C9-'Raw OI Data'!D9&gt;0,"▲ Net Long","▼ Net Short")</f>
        <v/>
      </c>
      <c r="E16" s="63">
        <f>IF('Raw OI Data'!C13-'Raw OI Data'!D13&gt;0,"▲ Net Long","▼ Net Short")</f>
        <v/>
      </c>
      <c r="F16" s="63">
        <f>IF('Raw OI Data'!C17-'Raw OI Data'!D17&gt;0,"▲ Net Long","▼ Net Short")</f>
        <v/>
      </c>
      <c r="G16" s="63">
        <f>IF('Raw OI Data'!C21-'Raw OI Data'!D21&gt;0,"▲ Net Long","▼ Net Short")</f>
        <v/>
      </c>
      <c r="H16" s="63">
        <f>G16</f>
        <v/>
      </c>
      <c r="I16" s="64" t="inlineStr"/>
    </row>
    <row r="17" ht="14" customHeight="1">
      <c r="A17" s="15" t="inlineStr"/>
      <c r="B17" s="25" t="inlineStr">
        <is>
          <t>Fut Stock Net OI</t>
        </is>
      </c>
      <c r="C17" s="65">
        <f>IF('Raw OI Data'!E5-'Raw OI Data'!F5&gt;0,"▲ Net Long","▼ Net Short")</f>
        <v/>
      </c>
      <c r="D17" s="65">
        <f>IF('Raw OI Data'!E9-'Raw OI Data'!F9&gt;0,"▲ Net Long","▼ Net Short")</f>
        <v/>
      </c>
      <c r="E17" s="65">
        <f>IF('Raw OI Data'!E13-'Raw OI Data'!F13&gt;0,"▲ Net Long","▼ Net Short")</f>
        <v/>
      </c>
      <c r="F17" s="65">
        <f>IF('Raw OI Data'!E17-'Raw OI Data'!F17&gt;0,"▲ Net Long","▼ Net Short")</f>
        <v/>
      </c>
      <c r="G17" s="65">
        <f>IF('Raw OI Data'!E21-'Raw OI Data'!F21&gt;0,"▲ Net Long","▼ Net Short")</f>
        <v/>
      </c>
      <c r="H17" s="65">
        <f>G17</f>
        <v/>
      </c>
      <c r="I17" s="66" t="inlineStr"/>
    </row>
    <row r="18" ht="14" customHeight="1">
      <c r="A18" s="17" t="inlineStr"/>
      <c r="B18" s="25" t="inlineStr">
        <is>
          <t>Index OI PCR</t>
        </is>
      </c>
      <c r="C18" s="67">
        <f>IFERROR('Raw OI Data'!H5/'Raw OI Data'!G5,0)</f>
        <v/>
      </c>
      <c r="D18" s="67">
        <f>IFERROR('Raw OI Data'!H9/'Raw OI Data'!G9,0)</f>
        <v/>
      </c>
      <c r="E18" s="67">
        <f>IFERROR('Raw OI Data'!H13/'Raw OI Data'!G13,0)</f>
        <v/>
      </c>
      <c r="F18" s="67">
        <f>IFERROR('Raw OI Data'!H17/'Raw OI Data'!G17,0)</f>
        <v/>
      </c>
      <c r="G18" s="67">
        <f>IFERROR('Raw OI Data'!H21/'Raw OI Data'!G21,0)</f>
        <v/>
      </c>
      <c r="H18" s="67">
        <f>G18</f>
        <v/>
      </c>
      <c r="I18" s="64" t="inlineStr"/>
    </row>
    <row r="19" ht="14" customHeight="1">
      <c r="A19" s="15" t="inlineStr"/>
      <c r="B19" s="25" t="inlineStr">
        <is>
          <t>Total L/S Ratio</t>
        </is>
      </c>
      <c r="C19" s="68">
        <f>IFERROR('Raw OI Data'!O5/'Raw OI Data'!P5,0)</f>
        <v/>
      </c>
      <c r="D19" s="68">
        <f>IFERROR('Raw OI Data'!O9/'Raw OI Data'!P9,0)</f>
        <v/>
      </c>
      <c r="E19" s="68">
        <f>IFERROR('Raw OI Data'!O13/'Raw OI Data'!P13,0)</f>
        <v/>
      </c>
      <c r="F19" s="68">
        <f>IFERROR('Raw OI Data'!O17/'Raw OI Data'!P17,0)</f>
        <v/>
      </c>
      <c r="G19" s="68">
        <f>IFERROR('Raw OI Data'!O21/'Raw OI Data'!P21,0)</f>
        <v/>
      </c>
      <c r="H19" s="68">
        <f>G19</f>
        <v/>
      </c>
      <c r="I19" s="66" t="inlineStr"/>
    </row>
    <row r="20" ht="14" customHeight="1">
      <c r="A20" s="17" t="inlineStr"/>
      <c r="B20" s="50" t="inlineStr">
        <is>
          <t>Composite Signal</t>
        </is>
      </c>
      <c r="C20" s="69">
        <f>IF(AND(('Raw OI Data'!C5-'Raw OI Data'!D5)&gt;0,IFERROR('Raw OI Data'!H5/'Raw OI Data'!G5,1)&lt;1,IFERROR('Raw OI Data'!O5/'Raw OI Data'!P5,1)&gt;1),"🟢 Bullish",IF(AND(('Raw OI Data'!C5-'Raw OI Data'!D5)&lt;0,IFERROR('Raw OI Data'!H5/'Raw OI Data'!G5,1)&gt;1.5,IFERROR('Raw OI Data'!O5/'Raw OI Data'!P5,1)&lt;1),"🔴 Bearish",IF(AND(('Raw OI Data'!C5-'Raw OI Data'!D5)&lt;0,IFERROR('Raw OI Data'!H5/'Raw OI Data'!G5,1)&gt;1.2),"🟠 Cautious",IF(AND(('Raw OI Data'!C5-'Raw OI Data'!D5)&gt;0,IFERROR('Raw OI Data'!H5/'Raw OI Data'!G5,1)&lt;0.8),"🟢 Bullish","🟡 Neutral"))))</f>
        <v/>
      </c>
      <c r="D20" s="69">
        <f>IF(AND(('Raw OI Data'!C9-'Raw OI Data'!D9)&gt;0,IFERROR('Raw OI Data'!H9/'Raw OI Data'!G9,1)&lt;1,IFERROR('Raw OI Data'!O9/'Raw OI Data'!P9,1)&gt;1),"🟢 Bullish",IF(AND(('Raw OI Data'!C9-'Raw OI Data'!D9)&lt;0,IFERROR('Raw OI Data'!H9/'Raw OI Data'!G9,1)&gt;1.5,IFERROR('Raw OI Data'!O9/'Raw OI Data'!P9,1)&lt;1),"🔴 Bearish",IF(AND(('Raw OI Data'!C9-'Raw OI Data'!D9)&lt;0,IFERROR('Raw OI Data'!H9/'Raw OI Data'!G9,1)&gt;1.2),"🟠 Cautious",IF(AND(('Raw OI Data'!C9-'Raw OI Data'!D9)&gt;0,IFERROR('Raw OI Data'!H9/'Raw OI Data'!G9,1)&lt;0.8),"🟢 Bullish","🟡 Neutral"))))</f>
        <v/>
      </c>
      <c r="E20" s="69">
        <f>IF(AND(('Raw OI Data'!C13-'Raw OI Data'!D13)&gt;0,IFERROR('Raw OI Data'!H13/'Raw OI Data'!G13,1)&lt;1,IFERROR('Raw OI Data'!O13/'Raw OI Data'!P13,1)&gt;1),"🟢 Bullish",IF(AND(('Raw OI Data'!C13-'Raw OI Data'!D13)&lt;0,IFERROR('Raw OI Data'!H13/'Raw OI Data'!G13,1)&gt;1.5,IFERROR('Raw OI Data'!O13/'Raw OI Data'!P13,1)&lt;1),"🔴 Bearish",IF(AND(('Raw OI Data'!C13-'Raw OI Data'!D13)&lt;0,IFERROR('Raw OI Data'!H13/'Raw OI Data'!G13,1)&gt;1.2),"🟠 Cautious",IF(AND(('Raw OI Data'!C13-'Raw OI Data'!D13)&gt;0,IFERROR('Raw OI Data'!H13/'Raw OI Data'!G13,1)&lt;0.8),"🟢 Bullish","🟡 Neutral"))))</f>
        <v/>
      </c>
      <c r="F20" s="69">
        <f>IF(AND(('Raw OI Data'!C17-'Raw OI Data'!D17)&gt;0,IFERROR('Raw OI Data'!H17/'Raw OI Data'!G17,1)&lt;1,IFERROR('Raw OI Data'!O17/'Raw OI Data'!P17,1)&gt;1),"🟢 Bullish",IF(AND(('Raw OI Data'!C17-'Raw OI Data'!D17)&lt;0,IFERROR('Raw OI Data'!H17/'Raw OI Data'!G17,1)&gt;1.5,IFERROR('Raw OI Data'!O17/'Raw OI Data'!P17,1)&lt;1),"🔴 Bearish",IF(AND(('Raw OI Data'!C17-'Raw OI Data'!D17)&lt;0,IFERROR('Raw OI Data'!H17/'Raw OI Data'!G17,1)&gt;1.2),"🟠 Cautious",IF(AND(('Raw OI Data'!C17-'Raw OI Data'!D17)&gt;0,IFERROR('Raw OI Data'!H17/'Raw OI Data'!G17,1)&lt;0.8),"🟢 Bullish","🟡 Neutral"))))</f>
        <v/>
      </c>
      <c r="G20" s="69">
        <f>IF(AND(('Raw OI Data'!C21-'Raw OI Data'!D21)&gt;0,IFERROR('Raw OI Data'!H21/'Raw OI Data'!G21,1)&lt;1,IFERROR('Raw OI Data'!O21/'Raw OI Data'!P21,1)&gt;1),"🟢 Bullish",IF(AND(('Raw OI Data'!C21-'Raw OI Data'!D21)&lt;0,IFERROR('Raw OI Data'!H21/'Raw OI Data'!G21,1)&gt;1.5,IFERROR('Raw OI Data'!O21/'Raw OI Data'!P21,1)&lt;1),"🔴 Bearish",IF(AND(('Raw OI Data'!C21-'Raw OI Data'!D21)&lt;0,IFERROR('Raw OI Data'!H21/'Raw OI Data'!G21,1)&gt;1.2),"🟠 Cautious",IF(AND(('Raw OI Data'!C21-'Raw OI Data'!D21)&gt;0,IFERROR('Raw OI Data'!H21/'Raw OI Data'!G21,1)&lt;0.8),"🟢 Bullish","🟡 Neutral"))))</f>
        <v/>
      </c>
      <c r="H20" s="70">
        <f>G20</f>
        <v/>
      </c>
      <c r="I20" s="64" t="inlineStr">
        <is>
          <t>Foreign Institutions — directional alpha signal</t>
        </is>
      </c>
    </row>
    <row r="21" ht="16" customHeight="1">
      <c r="A21" s="14" t="inlineStr">
        <is>
          <t>Pro</t>
        </is>
      </c>
    </row>
    <row r="22" ht="14" customHeight="1">
      <c r="A22" s="17" t="inlineStr"/>
      <c r="B22" s="25" t="inlineStr">
        <is>
          <t>Fut Index Net OI</t>
        </is>
      </c>
      <c r="C22" s="63">
        <f>IF('Raw OI Data'!C6-'Raw OI Data'!D6&gt;0,"▲ Net Long","▼ Net Short")</f>
        <v/>
      </c>
      <c r="D22" s="63">
        <f>IF('Raw OI Data'!C10-'Raw OI Data'!D10&gt;0,"▲ Net Long","▼ Net Short")</f>
        <v/>
      </c>
      <c r="E22" s="63">
        <f>IF('Raw OI Data'!C14-'Raw OI Data'!D14&gt;0,"▲ Net Long","▼ Net Short")</f>
        <v/>
      </c>
      <c r="F22" s="63">
        <f>IF('Raw OI Data'!C18-'Raw OI Data'!D18&gt;0,"▲ Net Long","▼ Net Short")</f>
        <v/>
      </c>
      <c r="G22" s="63">
        <f>IF('Raw OI Data'!C22-'Raw OI Data'!D22&gt;0,"▲ Net Long","▼ Net Short")</f>
        <v/>
      </c>
      <c r="H22" s="63">
        <f>G22</f>
        <v/>
      </c>
      <c r="I22" s="64" t="inlineStr"/>
    </row>
    <row r="23" ht="14" customHeight="1">
      <c r="A23" s="15" t="inlineStr"/>
      <c r="B23" s="25" t="inlineStr">
        <is>
          <t>Fut Stock Net OI</t>
        </is>
      </c>
      <c r="C23" s="65">
        <f>IF('Raw OI Data'!E6-'Raw OI Data'!F6&gt;0,"▲ Net Long","▼ Net Short")</f>
        <v/>
      </c>
      <c r="D23" s="65">
        <f>IF('Raw OI Data'!E10-'Raw OI Data'!F10&gt;0,"▲ Net Long","▼ Net Short")</f>
        <v/>
      </c>
      <c r="E23" s="65">
        <f>IF('Raw OI Data'!E14-'Raw OI Data'!F14&gt;0,"▲ Net Long","▼ Net Short")</f>
        <v/>
      </c>
      <c r="F23" s="65">
        <f>IF('Raw OI Data'!E18-'Raw OI Data'!F18&gt;0,"▲ Net Long","▼ Net Short")</f>
        <v/>
      </c>
      <c r="G23" s="65">
        <f>IF('Raw OI Data'!E22-'Raw OI Data'!F22&gt;0,"▲ Net Long","▼ Net Short")</f>
        <v/>
      </c>
      <c r="H23" s="65">
        <f>G23</f>
        <v/>
      </c>
      <c r="I23" s="66" t="inlineStr"/>
    </row>
    <row r="24" ht="14" customHeight="1">
      <c r="A24" s="17" t="inlineStr"/>
      <c r="B24" s="25" t="inlineStr">
        <is>
          <t>Index OI PCR</t>
        </is>
      </c>
      <c r="C24" s="67">
        <f>IFERROR('Raw OI Data'!H6/'Raw OI Data'!G6,0)</f>
        <v/>
      </c>
      <c r="D24" s="67">
        <f>IFERROR('Raw OI Data'!H10/'Raw OI Data'!G10,0)</f>
        <v/>
      </c>
      <c r="E24" s="67">
        <f>IFERROR('Raw OI Data'!H14/'Raw OI Data'!G14,0)</f>
        <v/>
      </c>
      <c r="F24" s="67">
        <f>IFERROR('Raw OI Data'!H18/'Raw OI Data'!G18,0)</f>
        <v/>
      </c>
      <c r="G24" s="67">
        <f>IFERROR('Raw OI Data'!H22/'Raw OI Data'!G22,0)</f>
        <v/>
      </c>
      <c r="H24" s="67">
        <f>G24</f>
        <v/>
      </c>
      <c r="I24" s="64" t="inlineStr"/>
    </row>
    <row r="25" ht="14" customHeight="1">
      <c r="A25" s="15" t="inlineStr"/>
      <c r="B25" s="25" t="inlineStr">
        <is>
          <t>Total L/S Ratio</t>
        </is>
      </c>
      <c r="C25" s="68">
        <f>IFERROR('Raw OI Data'!O6/'Raw OI Data'!P6,0)</f>
        <v/>
      </c>
      <c r="D25" s="68">
        <f>IFERROR('Raw OI Data'!O10/'Raw OI Data'!P10,0)</f>
        <v/>
      </c>
      <c r="E25" s="68">
        <f>IFERROR('Raw OI Data'!O14/'Raw OI Data'!P14,0)</f>
        <v/>
      </c>
      <c r="F25" s="68">
        <f>IFERROR('Raw OI Data'!O18/'Raw OI Data'!P18,0)</f>
        <v/>
      </c>
      <c r="G25" s="68">
        <f>IFERROR('Raw OI Data'!O22/'Raw OI Data'!P22,0)</f>
        <v/>
      </c>
      <c r="H25" s="68">
        <f>G25</f>
        <v/>
      </c>
      <c r="I25" s="66" t="inlineStr"/>
    </row>
    <row r="26" ht="14" customHeight="1">
      <c r="A26" s="17" t="inlineStr"/>
      <c r="B26" s="50" t="inlineStr">
        <is>
          <t>Composite Signal</t>
        </is>
      </c>
      <c r="C26" s="69">
        <f>IF(AND(('Raw OI Data'!C6-'Raw OI Data'!D6)&gt;0,IFERROR('Raw OI Data'!H6/'Raw OI Data'!G6,1)&lt;1,IFERROR('Raw OI Data'!O6/'Raw OI Data'!P6,1)&gt;1),"🟢 Bullish",IF(AND(('Raw OI Data'!C6-'Raw OI Data'!D6)&lt;0,IFERROR('Raw OI Data'!H6/'Raw OI Data'!G6,1)&gt;1.5,IFERROR('Raw OI Data'!O6/'Raw OI Data'!P6,1)&lt;1),"🔴 Bearish",IF(AND(('Raw OI Data'!C6-'Raw OI Data'!D6)&lt;0,IFERROR('Raw OI Data'!H6/'Raw OI Data'!G6,1)&gt;1.2),"🟠 Cautious",IF(AND(('Raw OI Data'!C6-'Raw OI Data'!D6)&gt;0,IFERROR('Raw OI Data'!H6/'Raw OI Data'!G6,1)&lt;0.8),"🟢 Bullish","🟡 Neutral"))))</f>
        <v/>
      </c>
      <c r="D26" s="69">
        <f>IF(AND(('Raw OI Data'!C10-'Raw OI Data'!D10)&gt;0,IFERROR('Raw OI Data'!H10/'Raw OI Data'!G10,1)&lt;1,IFERROR('Raw OI Data'!O10/'Raw OI Data'!P10,1)&gt;1),"🟢 Bullish",IF(AND(('Raw OI Data'!C10-'Raw OI Data'!D10)&lt;0,IFERROR('Raw OI Data'!H10/'Raw OI Data'!G10,1)&gt;1.5,IFERROR('Raw OI Data'!O10/'Raw OI Data'!P10,1)&lt;1),"🔴 Bearish",IF(AND(('Raw OI Data'!C10-'Raw OI Data'!D10)&lt;0,IFERROR('Raw OI Data'!H10/'Raw OI Data'!G10,1)&gt;1.2),"🟠 Cautious",IF(AND(('Raw OI Data'!C10-'Raw OI Data'!D10)&gt;0,IFERROR('Raw OI Data'!H10/'Raw OI Data'!G10,1)&lt;0.8),"🟢 Bullish","🟡 Neutral"))))</f>
        <v/>
      </c>
      <c r="E26" s="69">
        <f>IF(AND(('Raw OI Data'!C14-'Raw OI Data'!D14)&gt;0,IFERROR('Raw OI Data'!H14/'Raw OI Data'!G14,1)&lt;1,IFERROR('Raw OI Data'!O14/'Raw OI Data'!P14,1)&gt;1),"🟢 Bullish",IF(AND(('Raw OI Data'!C14-'Raw OI Data'!D14)&lt;0,IFERROR('Raw OI Data'!H14/'Raw OI Data'!G14,1)&gt;1.5,IFERROR('Raw OI Data'!O14/'Raw OI Data'!P14,1)&lt;1),"🔴 Bearish",IF(AND(('Raw OI Data'!C14-'Raw OI Data'!D14)&lt;0,IFERROR('Raw OI Data'!H14/'Raw OI Data'!G14,1)&gt;1.2),"🟠 Cautious",IF(AND(('Raw OI Data'!C14-'Raw OI Data'!D14)&gt;0,IFERROR('Raw OI Data'!H14/'Raw OI Data'!G14,1)&lt;0.8),"🟢 Bullish","🟡 Neutral"))))</f>
        <v/>
      </c>
      <c r="F26" s="69">
        <f>IF(AND(('Raw OI Data'!C18-'Raw OI Data'!D18)&gt;0,IFERROR('Raw OI Data'!H18/'Raw OI Data'!G18,1)&lt;1,IFERROR('Raw OI Data'!O18/'Raw OI Data'!P18,1)&gt;1),"🟢 Bullish",IF(AND(('Raw OI Data'!C18-'Raw OI Data'!D18)&lt;0,IFERROR('Raw OI Data'!H18/'Raw OI Data'!G18,1)&gt;1.5,IFERROR('Raw OI Data'!O18/'Raw OI Data'!P18,1)&lt;1),"🔴 Bearish",IF(AND(('Raw OI Data'!C18-'Raw OI Data'!D18)&lt;0,IFERROR('Raw OI Data'!H18/'Raw OI Data'!G18,1)&gt;1.2),"🟠 Cautious",IF(AND(('Raw OI Data'!C18-'Raw OI Data'!D18)&gt;0,IFERROR('Raw OI Data'!H18/'Raw OI Data'!G18,1)&lt;0.8),"🟢 Bullish","🟡 Neutral"))))</f>
        <v/>
      </c>
      <c r="G26" s="69">
        <f>IF(AND(('Raw OI Data'!C22-'Raw OI Data'!D22)&gt;0,IFERROR('Raw OI Data'!H22/'Raw OI Data'!G22,1)&lt;1,IFERROR('Raw OI Data'!O22/'Raw OI Data'!P22,1)&gt;1),"🟢 Bullish",IF(AND(('Raw OI Data'!C22-'Raw OI Data'!D22)&lt;0,IFERROR('Raw OI Data'!H22/'Raw OI Data'!G22,1)&gt;1.5,IFERROR('Raw OI Data'!O22/'Raw OI Data'!P22,1)&lt;1),"🔴 Bearish",IF(AND(('Raw OI Data'!C22-'Raw OI Data'!D22)&lt;0,IFERROR('Raw OI Data'!H22/'Raw OI Data'!G22,1)&gt;1.2),"🟠 Cautious",IF(AND(('Raw OI Data'!C22-'Raw OI Data'!D22)&gt;0,IFERROR('Raw OI Data'!H22/'Raw OI Data'!G22,1)&lt;0.8),"🟢 Bullish","🟡 Neutral"))))</f>
        <v/>
      </c>
      <c r="H26" s="70">
        <f>G26</f>
        <v/>
      </c>
      <c r="I26" s="64" t="inlineStr">
        <is>
          <t>Proprietary desks — fast money; mean-reverting</t>
        </is>
      </c>
    </row>
    <row r="27" ht="16" customHeight="1">
      <c r="A27" s="14" t="inlineStr">
        <is>
          <t>CHAIN-LEVEL SIGNALS  (Market-wide, all participants)</t>
        </is>
      </c>
    </row>
    <row r="28" ht="14" customHeight="1">
      <c r="A28" s="17" t="inlineStr"/>
      <c r="B28" s="25" t="inlineStr">
        <is>
          <t>Max Pain Strike</t>
        </is>
      </c>
      <c r="C28" s="71" t="n"/>
      <c r="D28" s="71" t="n"/>
      <c r="E28" s="71" t="n"/>
      <c r="F28" s="71" t="n"/>
      <c r="G28" s="71" t="n">
        <v>24400</v>
      </c>
      <c r="H28" s="71" t="n">
        <v>24400</v>
      </c>
      <c r="I28" s="17" t="n"/>
    </row>
    <row r="29" ht="14" customHeight="1">
      <c r="A29" s="15" t="inlineStr"/>
      <c r="B29" s="25" t="inlineStr">
        <is>
          <t>ATM Strike</t>
        </is>
      </c>
      <c r="C29" s="72" t="n"/>
      <c r="D29" s="72" t="n"/>
      <c r="E29" s="72" t="n"/>
      <c r="F29" s="72" t="n"/>
      <c r="G29" s="72" t="n">
        <v>24400</v>
      </c>
      <c r="H29" s="72" t="n">
        <v>24400</v>
      </c>
      <c r="I29" s="15" t="n"/>
    </row>
    <row r="30" ht="14" customHeight="1">
      <c r="A30" s="17" t="inlineStr"/>
      <c r="B30" s="25" t="inlineStr">
        <is>
          <t>Aggregate OI PCR</t>
        </is>
      </c>
      <c r="C30" s="73" t="n"/>
      <c r="D30" s="73" t="n"/>
      <c r="E30" s="73" t="n"/>
      <c r="F30" s="73" t="n"/>
      <c r="G30" s="73" t="n">
        <v>1.4974</v>
      </c>
      <c r="H30" s="73" t="n">
        <v>1.4974</v>
      </c>
      <c r="I30" s="17" t="n"/>
    </row>
    <row r="31" ht="14" customHeight="1">
      <c r="A31" s="15" t="inlineStr"/>
      <c r="B31" s="25" t="inlineStr">
        <is>
          <t>Aggregate Volume PCR</t>
        </is>
      </c>
      <c r="C31" s="74" t="n"/>
      <c r="D31" s="74" t="n"/>
      <c r="E31" s="74" t="n"/>
      <c r="F31" s="74" t="n"/>
      <c r="G31" s="74" t="n">
        <v>0.9369</v>
      </c>
      <c r="H31" s="74" t="n">
        <v>0.9369</v>
      </c>
      <c r="I31" s="15" t="n"/>
    </row>
  </sheetData>
  <mergeCells count="6">
    <mergeCell ref="A3:K3"/>
    <mergeCell ref="A21:K21"/>
    <mergeCell ref="A15:K15"/>
    <mergeCell ref="A1:K1"/>
    <mergeCell ref="A9:K9"/>
    <mergeCell ref="A27:K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2026-07-06T22:27:07Z</dcterms:created>
  <dcterms:modified xsi:type="dcterms:W3CDTF">2026-07-06T22:27:09Z</dcterms:modified>
</cp:coreProperties>
</file>