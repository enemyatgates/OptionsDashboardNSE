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OI Data" sheetId="1" state="visible" r:id="rId1"/>
    <sheet name="Raw TV Data" sheetId="2" state="visible" r:id="rId2"/>
    <sheet name="Raw Chain Data" sheetId="3" state="visible" r:id="rId3"/>
    <sheet name="OI Dashboard" sheetId="4" state="visible" r:id="rId4"/>
    <sheet name="TV Dashboard" sheetId="5" state="visible" r:id="rId5"/>
    <sheet name="Net OI &amp; Bias" sheetId="6" state="visible" r:id="rId6"/>
    <sheet name="PCR Analysis" sheetId="7" state="visible" r:id="rId7"/>
    <sheet name="OI-TV Efficiency" sheetId="8" state="visible" r:id="rId8"/>
    <sheet name="Day-on-Day Changes" sheetId="9" state="visible" r:id="rId9"/>
    <sheet name="Option Chain View" sheetId="10" state="visible" r:id="rId10"/>
    <sheet name="Max Pain" sheetId="11" state="visible" r:id="rId11"/>
    <sheet name="OI Walls &amp; Support" sheetId="12" state="visible" r:id="rId12"/>
    <sheet name="IV Skew" sheetId="13" state="visible" r:id="rId13"/>
    <sheet name="Sentiment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;-"/>
    <numFmt numFmtId="165" formatCode="0.00x"/>
    <numFmt numFmtId="166" formatCode="0.0%"/>
    <numFmt numFmtId="167" formatCode="0.000"/>
    <numFmt numFmtId="168" formatCode="0.00;[Red]-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E40AF"/>
      <sz val="10"/>
    </font>
    <font>
      <name val="Arial"/>
      <b val="1"/>
      <color rgb="0092400E"/>
      <sz val="10"/>
    </font>
    <font>
      <name val="Arial"/>
      <b val="1"/>
      <color rgb="00F9FAFB"/>
      <sz val="10"/>
    </font>
    <font>
      <name val="Arial"/>
      <color rgb="001F2937"/>
      <sz val="10"/>
    </font>
    <font>
      <name val="Arial"/>
      <b val="1"/>
      <color rgb="005B21B6"/>
      <sz val="10"/>
    </font>
    <font>
      <name val="Arial"/>
      <color rgb="005B21B6"/>
      <sz val="10"/>
    </font>
    <font>
      <name val="Arial"/>
      <b val="1"/>
      <color rgb="00000000"/>
      <sz val="10"/>
    </font>
    <font>
      <name val="Arial"/>
      <b val="1"/>
      <color rgb="001F2937"/>
      <sz val="10"/>
    </font>
    <font>
      <name val="Arial"/>
      <color rgb="00166534"/>
      <sz val="10"/>
    </font>
    <font>
      <name val="Arial"/>
      <color rgb="00991B1B"/>
      <sz val="10"/>
    </font>
    <font>
      <name val="Arial"/>
      <i val="1"/>
      <color rgb="006B7280"/>
      <sz val="10"/>
    </font>
  </fonts>
  <fills count="1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B5563"/>
        <bgColor rgb="004B5563"/>
      </patternFill>
    </fill>
    <fill>
      <patternFill patternType="solid">
        <fgColor rgb="00F3F4F6"/>
        <bgColor rgb="00F3F4F6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FF7ED"/>
        <bgColor rgb="00FFF7ED"/>
      </patternFill>
    </fill>
    <fill>
      <patternFill patternType="solid">
        <fgColor rgb="00374151"/>
        <bgColor rgb="00374151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2" borderId="0" pivotButton="0" quotePrefix="0" xfId="0"/>
    <xf numFmtId="0" fontId="3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0" fillId="8" borderId="0" pivotButton="0" quotePrefix="0" xfId="0"/>
    <xf numFmtId="0" fontId="7" fillId="9" borderId="1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164" fontId="3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166" fontId="3" fillId="4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7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  <xf numFmtId="2" fontId="3" fillId="6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2" fontId="3" fillId="7" borderId="1" applyAlignment="1" pivotButton="0" quotePrefix="0" xfId="0">
      <alignment horizontal="right" vertical="center"/>
    </xf>
    <xf numFmtId="2" fontId="9" fillId="11" borderId="1" applyAlignment="1" pivotButton="0" quotePrefix="0" xfId="0">
      <alignment horizontal="right" vertical="center"/>
    </xf>
    <xf numFmtId="3" fontId="10" fillId="12" borderId="1" applyAlignment="1" pivotButton="0" quotePrefix="0" xfId="0">
      <alignment horizontal="right" vertical="center"/>
    </xf>
    <xf numFmtId="3" fontId="3" fillId="12" borderId="1" applyAlignment="1" pivotButton="0" quotePrefix="0" xfId="0">
      <alignment horizontal="right" vertical="center"/>
    </xf>
    <xf numFmtId="2" fontId="3" fillId="12" borderId="1" applyAlignment="1" pivotButton="0" quotePrefix="0" xfId="0">
      <alignment horizontal="right" vertical="center"/>
    </xf>
    <xf numFmtId="2" fontId="9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/>
    </xf>
    <xf numFmtId="3" fontId="5" fillId="13" borderId="1" applyAlignment="1" pivotButton="0" quotePrefix="0" xfId="0">
      <alignment horizontal="right" vertical="center"/>
    </xf>
    <xf numFmtId="167" fontId="3" fillId="4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166" fontId="3" fillId="6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6" fontId="3" fillId="7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center" vertical="center" wrapText="1"/>
    </xf>
    <xf numFmtId="0" fontId="0" fillId="3" borderId="0" pivotButton="0" quotePrefix="0" xfId="0"/>
    <xf numFmtId="168" fontId="9" fillId="11" borderId="1" applyAlignment="1" pivotButton="0" quotePrefix="0" xfId="0">
      <alignment horizontal="right" vertical="center"/>
    </xf>
    <xf numFmtId="168" fontId="12" fillId="14" borderId="1" applyAlignment="1" pivotButton="0" quotePrefix="0" xfId="0">
      <alignment horizontal="right" vertical="center"/>
    </xf>
    <xf numFmtId="168" fontId="13" fillId="15" borderId="1" applyAlignment="1" pivotButton="0" quotePrefix="0" xfId="0">
      <alignment horizontal="right" vertical="center"/>
    </xf>
    <xf numFmtId="168" fontId="9" fillId="12" borderId="1" applyAlignment="1" pivotButton="0" quotePrefix="0" xfId="0">
      <alignment horizontal="right" vertical="center"/>
    </xf>
    <xf numFmtId="0" fontId="0" fillId="12" borderId="0" pivotButton="0" quotePrefix="0" xfId="0"/>
    <xf numFmtId="0" fontId="3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3" fontId="5" fillId="13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  <xf numFmtId="167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1" t="inlineStr">
        <is>
          <t>NSE FAO — Raw OI Data</t>
        </is>
      </c>
    </row>
    <row r="2" ht="28" customHeight="1">
      <c r="A2" s="2" t="inlineStr">
        <is>
          <t>Date</t>
        </is>
      </c>
      <c r="B2" s="2" t="inlineStr">
        <is>
          <t>Participant</t>
        </is>
      </c>
      <c r="C2" s="2" t="inlineStr">
        <is>
          <t>Fut Idx Long</t>
        </is>
      </c>
      <c r="D2" s="2" t="inlineStr">
        <is>
          <t>Fut Idx Short</t>
        </is>
      </c>
      <c r="E2" s="2" t="inlineStr">
        <is>
          <t>Fut Stk Long</t>
        </is>
      </c>
      <c r="F2" s="2" t="inlineStr">
        <is>
          <t>Fut Stk Short</t>
        </is>
      </c>
      <c r="G2" s="2" t="inlineStr">
        <is>
          <t>Opt Idx Call Long</t>
        </is>
      </c>
      <c r="H2" s="2" t="inlineStr">
        <is>
          <t>Opt Idx Put Long</t>
        </is>
      </c>
      <c r="I2" s="2" t="inlineStr">
        <is>
          <t>Opt Idx Call Short</t>
        </is>
      </c>
      <c r="J2" s="2" t="inlineStr">
        <is>
          <t>Opt Idx Put Short</t>
        </is>
      </c>
      <c r="K2" s="2" t="inlineStr">
        <is>
          <t>Opt Stk Call Long</t>
        </is>
      </c>
      <c r="L2" s="2" t="inlineStr">
        <is>
          <t>Opt Stk Put Long</t>
        </is>
      </c>
      <c r="M2" s="2" t="inlineStr">
        <is>
          <t>Opt Stk Call Short</t>
        </is>
      </c>
      <c r="N2" s="2" t="inlineStr">
        <is>
          <t>Opt Stk Put Short</t>
        </is>
      </c>
      <c r="O2" s="2" t="inlineStr">
        <is>
          <t>Total Long</t>
        </is>
      </c>
      <c r="P2" s="2" t="inlineStr">
        <is>
          <t>Total Short</t>
        </is>
      </c>
    </row>
    <row r="3" ht="14" customHeight="1">
      <c r="A3" s="3" t="inlineStr">
        <is>
          <t>Jul 06 2026</t>
        </is>
      </c>
      <c r="B3" s="3" t="inlineStr">
        <is>
          <t>Client</t>
        </is>
      </c>
      <c r="C3" s="4" t="n">
        <v>232341</v>
      </c>
      <c r="D3" s="4" t="n">
        <v>67709</v>
      </c>
      <c r="E3" s="4" t="n">
        <v>3179272</v>
      </c>
      <c r="F3" s="4" t="n">
        <v>234871</v>
      </c>
      <c r="G3" s="4" t="n">
        <v>2801650</v>
      </c>
      <c r="H3" s="4" t="n">
        <v>3400685</v>
      </c>
      <c r="I3" s="4" t="n">
        <v>2754218</v>
      </c>
      <c r="J3" s="4" t="n">
        <v>3913827</v>
      </c>
      <c r="K3" s="4" t="n">
        <v>1634622</v>
      </c>
      <c r="L3" s="4" t="n">
        <v>648181</v>
      </c>
      <c r="M3" s="4" t="n">
        <v>1038830</v>
      </c>
      <c r="N3" s="4" t="n">
        <v>897275</v>
      </c>
      <c r="O3" s="4" t="n">
        <v>11896752</v>
      </c>
      <c r="P3" s="4" t="n">
        <v>8906730</v>
      </c>
    </row>
    <row r="4" ht="14" customHeight="1">
      <c r="A4" s="5" t="inlineStr">
        <is>
          <t>Jul 06 2026</t>
        </is>
      </c>
      <c r="B4" s="5" t="inlineStr">
        <is>
          <t>DII</t>
        </is>
      </c>
      <c r="C4" s="6" t="n">
        <v>77668</v>
      </c>
      <c r="D4" s="6" t="n">
        <v>11572</v>
      </c>
      <c r="E4" s="6" t="n">
        <v>287044</v>
      </c>
      <c r="F4" s="6" t="n">
        <v>4297008</v>
      </c>
      <c r="G4" s="6" t="n">
        <v>4195</v>
      </c>
      <c r="H4" s="6" t="n">
        <v>26015</v>
      </c>
      <c r="I4" s="6" t="n">
        <v>800</v>
      </c>
      <c r="J4" s="6" t="n">
        <v>1779</v>
      </c>
      <c r="K4" s="6" t="n">
        <v>359</v>
      </c>
      <c r="L4" s="6" t="n">
        <v>35410</v>
      </c>
      <c r="M4" s="6" t="n">
        <v>238644</v>
      </c>
      <c r="N4" s="6" t="n">
        <v>6859</v>
      </c>
      <c r="O4" s="6" t="n">
        <v>430691</v>
      </c>
      <c r="P4" s="6" t="n">
        <v>4556662</v>
      </c>
    </row>
    <row r="5" ht="14" customHeight="1">
      <c r="A5" s="3" t="inlineStr">
        <is>
          <t>Jul 06 2026</t>
        </is>
      </c>
      <c r="B5" s="3" t="inlineStr">
        <is>
          <t>FII</t>
        </is>
      </c>
      <c r="C5" s="4" t="n">
        <v>32686</v>
      </c>
      <c r="D5" s="4" t="n">
        <v>273965</v>
      </c>
      <c r="E5" s="4" t="n">
        <v>3856372</v>
      </c>
      <c r="F5" s="4" t="n">
        <v>3284328</v>
      </c>
      <c r="G5" s="4" t="n">
        <v>481814</v>
      </c>
      <c r="H5" s="4" t="n">
        <v>973972</v>
      </c>
      <c r="I5" s="4" t="n">
        <v>670467</v>
      </c>
      <c r="J5" s="4" t="n">
        <v>516945</v>
      </c>
      <c r="K5" s="4" t="n">
        <v>151938</v>
      </c>
      <c r="L5" s="4" t="n">
        <v>214429</v>
      </c>
      <c r="M5" s="4" t="n">
        <v>239161</v>
      </c>
      <c r="N5" s="4" t="n">
        <v>151451</v>
      </c>
      <c r="O5" s="4" t="n">
        <v>5711211</v>
      </c>
      <c r="P5" s="4" t="n">
        <v>5136316</v>
      </c>
    </row>
    <row r="6" ht="14" customHeight="1">
      <c r="A6" s="5" t="inlineStr">
        <is>
          <t>Jul 06 2026</t>
        </is>
      </c>
      <c r="B6" s="5" t="inlineStr">
        <is>
          <t>Pro</t>
        </is>
      </c>
      <c r="C6" s="6" t="n">
        <v>42645</v>
      </c>
      <c r="D6" s="6" t="n">
        <v>32094</v>
      </c>
      <c r="E6" s="6" t="n">
        <v>864025</v>
      </c>
      <c r="F6" s="6" t="n">
        <v>370506</v>
      </c>
      <c r="G6" s="6" t="n">
        <v>962571</v>
      </c>
      <c r="H6" s="6" t="n">
        <v>1246877</v>
      </c>
      <c r="I6" s="6" t="n">
        <v>824746</v>
      </c>
      <c r="J6" s="6" t="n">
        <v>1214999</v>
      </c>
      <c r="K6" s="6" t="n">
        <v>869717</v>
      </c>
      <c r="L6" s="6" t="n">
        <v>869926</v>
      </c>
      <c r="M6" s="6" t="n">
        <v>1140001</v>
      </c>
      <c r="N6" s="6" t="n">
        <v>712361</v>
      </c>
      <c r="O6" s="6" t="n">
        <v>4855761</v>
      </c>
      <c r="P6" s="6" t="n">
        <v>4294706</v>
      </c>
    </row>
    <row r="7" ht="14" customHeight="1">
      <c r="A7" s="3" t="inlineStr">
        <is>
          <t>Jul 07 2026</t>
        </is>
      </c>
      <c r="B7" s="3" t="inlineStr">
        <is>
          <t>Client</t>
        </is>
      </c>
      <c r="C7" s="4" t="n">
        <v>228252</v>
      </c>
      <c r="D7" s="4" t="n">
        <v>64093</v>
      </c>
      <c r="E7" s="4" t="n">
        <v>3162432</v>
      </c>
      <c r="F7" s="4" t="n">
        <v>246922</v>
      </c>
      <c r="G7" s="4" t="n">
        <v>1803242</v>
      </c>
      <c r="H7" s="4" t="n">
        <v>1500941</v>
      </c>
      <c r="I7" s="4" t="n">
        <v>1631914</v>
      </c>
      <c r="J7" s="4" t="n">
        <v>2015837</v>
      </c>
      <c r="K7" s="4" t="n">
        <v>1779543</v>
      </c>
      <c r="L7" s="4" t="n">
        <v>675542</v>
      </c>
      <c r="M7" s="4" t="n">
        <v>1083796</v>
      </c>
      <c r="N7" s="4" t="n">
        <v>940303</v>
      </c>
      <c r="O7" s="4" t="n">
        <v>9149952</v>
      </c>
      <c r="P7" s="4" t="n">
        <v>5982864</v>
      </c>
    </row>
    <row r="8" ht="14" customHeight="1">
      <c r="A8" s="5" t="inlineStr">
        <is>
          <t>Jul 07 2026</t>
        </is>
      </c>
      <c r="B8" s="5" t="inlineStr">
        <is>
          <t>DII</t>
        </is>
      </c>
      <c r="C8" s="6" t="n">
        <v>80816</v>
      </c>
      <c r="D8" s="6" t="n">
        <v>11572</v>
      </c>
      <c r="E8" s="6" t="n">
        <v>287662</v>
      </c>
      <c r="F8" s="6" t="n">
        <v>4279786</v>
      </c>
      <c r="G8" s="6" t="n">
        <v>5290</v>
      </c>
      <c r="H8" s="6" t="n">
        <v>26027</v>
      </c>
      <c r="I8" s="6" t="n">
        <v>90</v>
      </c>
      <c r="J8" s="6" t="n">
        <v>229</v>
      </c>
      <c r="K8" s="6" t="n">
        <v>434</v>
      </c>
      <c r="L8" s="6" t="n">
        <v>35491</v>
      </c>
      <c r="M8" s="6" t="n">
        <v>283816</v>
      </c>
      <c r="N8" s="6" t="n">
        <v>8721</v>
      </c>
      <c r="O8" s="6" t="n">
        <v>435720</v>
      </c>
      <c r="P8" s="6" t="n">
        <v>4584214</v>
      </c>
    </row>
    <row r="9" ht="14" customHeight="1">
      <c r="A9" s="3" t="inlineStr">
        <is>
          <t>Jul 07 2026</t>
        </is>
      </c>
      <c r="B9" s="3" t="inlineStr">
        <is>
          <t>FII</t>
        </is>
      </c>
      <c r="C9" s="4" t="n">
        <v>32710</v>
      </c>
      <c r="D9" s="4" t="n">
        <v>271548</v>
      </c>
      <c r="E9" s="4" t="n">
        <v>3845780</v>
      </c>
      <c r="F9" s="4" t="n">
        <v>3242088</v>
      </c>
      <c r="G9" s="4" t="n">
        <v>355937</v>
      </c>
      <c r="H9" s="4" t="n">
        <v>718833</v>
      </c>
      <c r="I9" s="4" t="n">
        <v>544458</v>
      </c>
      <c r="J9" s="4" t="n">
        <v>275050</v>
      </c>
      <c r="K9" s="4" t="n">
        <v>164789</v>
      </c>
      <c r="L9" s="4" t="n">
        <v>235205</v>
      </c>
      <c r="M9" s="4" t="n">
        <v>259677</v>
      </c>
      <c r="N9" s="4" t="n">
        <v>162062</v>
      </c>
      <c r="O9" s="4" t="n">
        <v>5353254</v>
      </c>
      <c r="P9" s="4" t="n">
        <v>4754883</v>
      </c>
    </row>
    <row r="10" ht="14" customHeight="1">
      <c r="A10" s="5" t="inlineStr">
        <is>
          <t>Jul 07 2026</t>
        </is>
      </c>
      <c r="B10" s="5" t="inlineStr">
        <is>
          <t>Pro</t>
        </is>
      </c>
      <c r="C10" s="6" t="n">
        <v>38805</v>
      </c>
      <c r="D10" s="6" t="n">
        <v>33370</v>
      </c>
      <c r="E10" s="6" t="n">
        <v>867367</v>
      </c>
      <c r="F10" s="6" t="n">
        <v>394445</v>
      </c>
      <c r="G10" s="6" t="n">
        <v>583538</v>
      </c>
      <c r="H10" s="6" t="n">
        <v>632342</v>
      </c>
      <c r="I10" s="6" t="n">
        <v>571546</v>
      </c>
      <c r="J10" s="6" t="n">
        <v>587027</v>
      </c>
      <c r="K10" s="6" t="n">
        <v>909534</v>
      </c>
      <c r="L10" s="6" t="n">
        <v>922116</v>
      </c>
      <c r="M10" s="6" t="n">
        <v>1227011</v>
      </c>
      <c r="N10" s="6" t="n">
        <v>757268</v>
      </c>
      <c r="O10" s="6" t="n">
        <v>3953702</v>
      </c>
      <c r="P10" s="6" t="n">
        <v>3570667</v>
      </c>
    </row>
    <row r="11" ht="14" customHeight="1">
      <c r="A11" s="3" t="inlineStr">
        <is>
          <t>Jul 08 2026</t>
        </is>
      </c>
      <c r="B11" s="3" t="inlineStr">
        <is>
          <t>Client</t>
        </is>
      </c>
      <c r="C11" s="4" t="n">
        <v>245471</v>
      </c>
      <c r="D11" s="4" t="n">
        <v>58316</v>
      </c>
      <c r="E11" s="4" t="n">
        <v>3095220</v>
      </c>
      <c r="F11" s="4" t="n">
        <v>233127</v>
      </c>
      <c r="G11" s="4" t="n">
        <v>2773248</v>
      </c>
      <c r="H11" s="4" t="n">
        <v>1722410</v>
      </c>
      <c r="I11" s="4" t="n">
        <v>2479076</v>
      </c>
      <c r="J11" s="4" t="n">
        <v>2351332</v>
      </c>
      <c r="K11" s="4" t="n">
        <v>1858115</v>
      </c>
      <c r="L11" s="4" t="n">
        <v>613580</v>
      </c>
      <c r="M11" s="4" t="n">
        <v>1084323</v>
      </c>
      <c r="N11" s="4" t="n">
        <v>967950</v>
      </c>
      <c r="O11" s="4" t="n">
        <v>10308044</v>
      </c>
      <c r="P11" s="4" t="n">
        <v>7174124</v>
      </c>
    </row>
    <row r="12" ht="14" customHeight="1">
      <c r="A12" s="5" t="inlineStr">
        <is>
          <t>Jul 08 2026</t>
        </is>
      </c>
      <c r="B12" s="5" t="inlineStr">
        <is>
          <t>DII</t>
        </is>
      </c>
      <c r="C12" s="6" t="n">
        <v>79832</v>
      </c>
      <c r="D12" s="6" t="n">
        <v>8602</v>
      </c>
      <c r="E12" s="6" t="n">
        <v>298456</v>
      </c>
      <c r="F12" s="6" t="n">
        <v>4219367</v>
      </c>
      <c r="G12" s="6" t="n">
        <v>6745</v>
      </c>
      <c r="H12" s="6" t="n">
        <v>28169</v>
      </c>
      <c r="I12" s="6" t="n">
        <v>940</v>
      </c>
      <c r="J12" s="6" t="n">
        <v>369</v>
      </c>
      <c r="K12" s="6" t="n">
        <v>523</v>
      </c>
      <c r="L12" s="6" t="n">
        <v>35450</v>
      </c>
      <c r="M12" s="6" t="n">
        <v>303692</v>
      </c>
      <c r="N12" s="6" t="n">
        <v>9169</v>
      </c>
      <c r="O12" s="6" t="n">
        <v>449175</v>
      </c>
      <c r="P12" s="6" t="n">
        <v>4542139</v>
      </c>
    </row>
    <row r="13" ht="14" customHeight="1">
      <c r="A13" s="3" t="inlineStr">
        <is>
          <t>Jul 08 2026</t>
        </is>
      </c>
      <c r="B13" s="3" t="inlineStr">
        <is>
          <t>FII</t>
        </is>
      </c>
      <c r="C13" s="4" t="n">
        <v>30225</v>
      </c>
      <c r="D13" s="4" t="n">
        <v>298811</v>
      </c>
      <c r="E13" s="4" t="n">
        <v>3804278</v>
      </c>
      <c r="F13" s="4" t="n">
        <v>3226723</v>
      </c>
      <c r="G13" s="4" t="n">
        <v>486150</v>
      </c>
      <c r="H13" s="4" t="n">
        <v>912286</v>
      </c>
      <c r="I13" s="4" t="n">
        <v>769301</v>
      </c>
      <c r="J13" s="4" t="n">
        <v>365622</v>
      </c>
      <c r="K13" s="4" t="n">
        <v>180386</v>
      </c>
      <c r="L13" s="4" t="n">
        <v>280738</v>
      </c>
      <c r="M13" s="4" t="n">
        <v>293100</v>
      </c>
      <c r="N13" s="4" t="n">
        <v>169283</v>
      </c>
      <c r="O13" s="4" t="n">
        <v>5694063</v>
      </c>
      <c r="P13" s="4" t="n">
        <v>5122840</v>
      </c>
    </row>
    <row r="14" ht="14" customHeight="1">
      <c r="A14" s="5" t="inlineStr">
        <is>
          <t>Jul 08 2026</t>
        </is>
      </c>
      <c r="B14" s="5" t="inlineStr">
        <is>
          <t>Pro</t>
        </is>
      </c>
      <c r="C14" s="6" t="n">
        <v>46256</v>
      </c>
      <c r="D14" s="6" t="n">
        <v>36055</v>
      </c>
      <c r="E14" s="6" t="n">
        <v>888725</v>
      </c>
      <c r="F14" s="6" t="n">
        <v>407462</v>
      </c>
      <c r="G14" s="6" t="n">
        <v>920746</v>
      </c>
      <c r="H14" s="6" t="n">
        <v>744822</v>
      </c>
      <c r="I14" s="6" t="n">
        <v>937573</v>
      </c>
      <c r="J14" s="6" t="n">
        <v>690364</v>
      </c>
      <c r="K14" s="6" t="n">
        <v>934059</v>
      </c>
      <c r="L14" s="6" t="n">
        <v>997230</v>
      </c>
      <c r="M14" s="6" t="n">
        <v>1291968</v>
      </c>
      <c r="N14" s="6" t="n">
        <v>780596</v>
      </c>
      <c r="O14" s="6" t="n">
        <v>4531838</v>
      </c>
      <c r="P14" s="6" t="n">
        <v>4144018</v>
      </c>
    </row>
    <row r="15" ht="14" customHeight="1">
      <c r="A15" s="3" t="inlineStr">
        <is>
          <t>Jul 09 2026</t>
        </is>
      </c>
      <c r="B15" s="3" t="inlineStr">
        <is>
          <t>Client</t>
        </is>
      </c>
      <c r="C15" s="4" t="n">
        <v>238476</v>
      </c>
      <c r="D15" s="4" t="n">
        <v>58860</v>
      </c>
      <c r="E15" s="4" t="n">
        <v>3125733</v>
      </c>
      <c r="F15" s="4" t="n">
        <v>248751</v>
      </c>
      <c r="G15" s="4" t="n">
        <v>2877150</v>
      </c>
      <c r="H15" s="4" t="n">
        <v>2163635</v>
      </c>
      <c r="I15" s="4" t="n">
        <v>2705175</v>
      </c>
      <c r="J15" s="4" t="n">
        <v>2809195</v>
      </c>
      <c r="K15" s="4" t="n">
        <v>1976641</v>
      </c>
      <c r="L15" s="4" t="n">
        <v>676441</v>
      </c>
      <c r="M15" s="4" t="n">
        <v>1142350</v>
      </c>
      <c r="N15" s="4" t="n">
        <v>1004755</v>
      </c>
      <c r="O15" s="4" t="n">
        <v>11058077</v>
      </c>
      <c r="P15" s="4" t="n">
        <v>7969086</v>
      </c>
    </row>
    <row r="16" ht="14" customHeight="1">
      <c r="A16" s="5" t="inlineStr">
        <is>
          <t>Jul 09 2026</t>
        </is>
      </c>
      <c r="B16" s="5" t="inlineStr">
        <is>
          <t>DII</t>
        </is>
      </c>
      <c r="C16" s="6" t="n">
        <v>78283</v>
      </c>
      <c r="D16" s="6" t="n">
        <v>8602</v>
      </c>
      <c r="E16" s="6" t="n">
        <v>301278</v>
      </c>
      <c r="F16" s="6" t="n">
        <v>4245102</v>
      </c>
      <c r="G16" s="6" t="n">
        <v>7051</v>
      </c>
      <c r="H16" s="6" t="n">
        <v>28649</v>
      </c>
      <c r="I16" s="6" t="n">
        <v>950</v>
      </c>
      <c r="J16" s="6" t="n">
        <v>369</v>
      </c>
      <c r="K16" s="6" t="n">
        <v>938</v>
      </c>
      <c r="L16" s="6" t="n">
        <v>35460</v>
      </c>
      <c r="M16" s="6" t="n">
        <v>338373</v>
      </c>
      <c r="N16" s="6" t="n">
        <v>10581</v>
      </c>
      <c r="O16" s="6" t="n">
        <v>451659</v>
      </c>
      <c r="P16" s="6" t="n">
        <v>4603977</v>
      </c>
    </row>
    <row r="17" ht="14" customHeight="1">
      <c r="A17" s="3" t="inlineStr">
        <is>
          <t>Jul 09 2026</t>
        </is>
      </c>
      <c r="B17" s="3" t="inlineStr">
        <is>
          <t>FII</t>
        </is>
      </c>
      <c r="C17" s="4" t="n">
        <v>31455</v>
      </c>
      <c r="D17" s="4" t="n">
        <v>297706</v>
      </c>
      <c r="E17" s="4" t="n">
        <v>3815377</v>
      </c>
      <c r="F17" s="4" t="n">
        <v>3223806</v>
      </c>
      <c r="G17" s="4" t="n">
        <v>496386</v>
      </c>
      <c r="H17" s="4" t="n">
        <v>935784</v>
      </c>
      <c r="I17" s="4" t="n">
        <v>752614</v>
      </c>
      <c r="J17" s="4" t="n">
        <v>411559</v>
      </c>
      <c r="K17" s="4" t="n">
        <v>192966</v>
      </c>
      <c r="L17" s="4" t="n">
        <v>308050</v>
      </c>
      <c r="M17" s="4" t="n">
        <v>321635</v>
      </c>
      <c r="N17" s="4" t="n">
        <v>179688</v>
      </c>
      <c r="O17" s="4" t="n">
        <v>5780018</v>
      </c>
      <c r="P17" s="4" t="n">
        <v>5187008</v>
      </c>
    </row>
    <row r="18" ht="14" customHeight="1">
      <c r="A18" s="5" t="inlineStr">
        <is>
          <t>Jul 09 2026</t>
        </is>
      </c>
      <c r="B18" s="5" t="inlineStr">
        <is>
          <t>Pro</t>
        </is>
      </c>
      <c r="C18" s="6" t="n">
        <v>50489</v>
      </c>
      <c r="D18" s="6" t="n">
        <v>33535</v>
      </c>
      <c r="E18" s="6" t="n">
        <v>901430</v>
      </c>
      <c r="F18" s="6" t="n">
        <v>426159</v>
      </c>
      <c r="G18" s="6" t="n">
        <v>906869</v>
      </c>
      <c r="H18" s="6" t="n">
        <v>886700</v>
      </c>
      <c r="I18" s="6" t="n">
        <v>828716</v>
      </c>
      <c r="J18" s="6" t="n">
        <v>793645</v>
      </c>
      <c r="K18" s="6" t="n">
        <v>987339</v>
      </c>
      <c r="L18" s="6" t="n">
        <v>1013607</v>
      </c>
      <c r="M18" s="6" t="n">
        <v>1355526</v>
      </c>
      <c r="N18" s="6" t="n">
        <v>838534</v>
      </c>
      <c r="O18" s="6" t="n">
        <v>4746433</v>
      </c>
      <c r="P18" s="6" t="n">
        <v>4276115</v>
      </c>
    </row>
    <row r="19" ht="14" customHeight="1">
      <c r="A19" s="3" t="inlineStr">
        <is>
          <t>Jul 10 2026</t>
        </is>
      </c>
      <c r="B19" s="3" t="inlineStr">
        <is>
          <t>Client</t>
        </is>
      </c>
      <c r="C19" s="4" t="n">
        <v>230182</v>
      </c>
      <c r="D19" s="4" t="n">
        <v>60551</v>
      </c>
      <c r="E19" s="4" t="n">
        <v>3108529</v>
      </c>
      <c r="F19" s="4" t="n">
        <v>263369</v>
      </c>
      <c r="G19" s="4" t="n">
        <v>2678011</v>
      </c>
      <c r="H19" s="4" t="n">
        <v>2788195</v>
      </c>
      <c r="I19" s="4" t="n">
        <v>2639136</v>
      </c>
      <c r="J19" s="4" t="n">
        <v>3417713</v>
      </c>
      <c r="K19" s="4" t="n">
        <v>2003068</v>
      </c>
      <c r="L19" s="4" t="n">
        <v>723858</v>
      </c>
      <c r="M19" s="4" t="n">
        <v>1179146</v>
      </c>
      <c r="N19" s="4" t="n">
        <v>1024910</v>
      </c>
      <c r="O19" s="4" t="n">
        <v>11531843</v>
      </c>
      <c r="P19" s="4" t="n">
        <v>8584825</v>
      </c>
    </row>
    <row r="20" ht="14" customHeight="1">
      <c r="A20" s="5" t="inlineStr">
        <is>
          <t>Jul 10 2026</t>
        </is>
      </c>
      <c r="B20" s="5" t="inlineStr">
        <is>
          <t>DII</t>
        </is>
      </c>
      <c r="C20" s="6" t="n">
        <v>78304</v>
      </c>
      <c r="D20" s="6" t="n">
        <v>10880</v>
      </c>
      <c r="E20" s="6" t="n">
        <v>322858</v>
      </c>
      <c r="F20" s="6" t="n">
        <v>4261952</v>
      </c>
      <c r="G20" s="6" t="n">
        <v>5721</v>
      </c>
      <c r="H20" s="6" t="n">
        <v>28739</v>
      </c>
      <c r="I20" s="6" t="n">
        <v>900</v>
      </c>
      <c r="J20" s="6" t="n">
        <v>304</v>
      </c>
      <c r="K20" s="6" t="n">
        <v>3608</v>
      </c>
      <c r="L20" s="6" t="n">
        <v>35710</v>
      </c>
      <c r="M20" s="6" t="n">
        <v>347527</v>
      </c>
      <c r="N20" s="6" t="n">
        <v>11211</v>
      </c>
      <c r="O20" s="6" t="n">
        <v>474940</v>
      </c>
      <c r="P20" s="6" t="n">
        <v>4632774</v>
      </c>
    </row>
    <row r="21" ht="14" customHeight="1">
      <c r="A21" s="3" t="inlineStr">
        <is>
          <t>Jul 10 2026</t>
        </is>
      </c>
      <c r="B21" s="3" t="inlineStr">
        <is>
          <t>FII</t>
        </is>
      </c>
      <c r="C21" s="4" t="n">
        <v>34427</v>
      </c>
      <c r="D21" s="4" t="n">
        <v>289138</v>
      </c>
      <c r="E21" s="4" t="n">
        <v>3841103</v>
      </c>
      <c r="F21" s="4" t="n">
        <v>3202675</v>
      </c>
      <c r="G21" s="4" t="n">
        <v>520634</v>
      </c>
      <c r="H21" s="4" t="n">
        <v>1058720</v>
      </c>
      <c r="I21" s="4" t="n">
        <v>739245</v>
      </c>
      <c r="J21" s="4" t="n">
        <v>580162</v>
      </c>
      <c r="K21" s="4" t="n">
        <v>207763</v>
      </c>
      <c r="L21" s="4" t="n">
        <v>324926</v>
      </c>
      <c r="M21" s="4" t="n">
        <v>341584</v>
      </c>
      <c r="N21" s="4" t="n">
        <v>199856</v>
      </c>
      <c r="O21" s="4" t="n">
        <v>5987572</v>
      </c>
      <c r="P21" s="4" t="n">
        <v>5352660</v>
      </c>
    </row>
    <row r="22" ht="14" customHeight="1">
      <c r="A22" s="5" t="inlineStr">
        <is>
          <t>Jul 10 2026</t>
        </is>
      </c>
      <c r="B22" s="5" t="inlineStr">
        <is>
          <t>Pro</t>
        </is>
      </c>
      <c r="C22" s="6" t="n">
        <v>51172</v>
      </c>
      <c r="D22" s="6" t="n">
        <v>33516</v>
      </c>
      <c r="E22" s="6" t="n">
        <v>903186</v>
      </c>
      <c r="F22" s="6" t="n">
        <v>447680</v>
      </c>
      <c r="G22" s="6" t="n">
        <v>973913</v>
      </c>
      <c r="H22" s="6" t="n">
        <v>1201939</v>
      </c>
      <c r="I22" s="6" t="n">
        <v>798997</v>
      </c>
      <c r="J22" s="6" t="n">
        <v>1079415</v>
      </c>
      <c r="K22" s="6" t="n">
        <v>1037959</v>
      </c>
      <c r="L22" s="6" t="n">
        <v>1031050</v>
      </c>
      <c r="M22" s="6" t="n">
        <v>1384141</v>
      </c>
      <c r="N22" s="6" t="n">
        <v>879567</v>
      </c>
      <c r="O22" s="6" t="n">
        <v>5199219</v>
      </c>
      <c r="P22" s="6" t="n">
        <v>4623316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22" customHeight="1">
      <c r="A1" s="1" t="inlineStr">
        <is>
          <t>NSE FAO — Raw TV Data</t>
        </is>
      </c>
    </row>
    <row r="2" ht="28" customHeight="1">
      <c r="A2" s="2" t="inlineStr">
        <is>
          <t>Date</t>
        </is>
      </c>
      <c r="B2" s="2" t="inlineStr">
        <is>
          <t>Participant</t>
        </is>
      </c>
      <c r="C2" s="2" t="inlineStr">
        <is>
          <t>Fut Idx Long</t>
        </is>
      </c>
      <c r="D2" s="2" t="inlineStr">
        <is>
          <t>Fut Idx Short</t>
        </is>
      </c>
      <c r="E2" s="2" t="inlineStr">
        <is>
          <t>Fut Stk Long</t>
        </is>
      </c>
      <c r="F2" s="2" t="inlineStr">
        <is>
          <t>Fut Stk Short</t>
        </is>
      </c>
      <c r="G2" s="2" t="inlineStr">
        <is>
          <t>Opt Idx Call Long</t>
        </is>
      </c>
      <c r="H2" s="2" t="inlineStr">
        <is>
          <t>Opt Idx Put Long</t>
        </is>
      </c>
      <c r="I2" s="2" t="inlineStr">
        <is>
          <t>Opt Idx Call Short</t>
        </is>
      </c>
      <c r="J2" s="2" t="inlineStr">
        <is>
          <t>Opt Idx Put Short</t>
        </is>
      </c>
      <c r="K2" s="2" t="inlineStr">
        <is>
          <t>Opt Stk Call Long</t>
        </is>
      </c>
      <c r="L2" s="2" t="inlineStr">
        <is>
          <t>Opt Stk Put Long</t>
        </is>
      </c>
      <c r="M2" s="2" t="inlineStr">
        <is>
          <t>Opt Stk Call Short</t>
        </is>
      </c>
      <c r="N2" s="2" t="inlineStr">
        <is>
          <t>Opt Stk Put Short</t>
        </is>
      </c>
      <c r="O2" s="2" t="inlineStr">
        <is>
          <t>Total Long</t>
        </is>
      </c>
      <c r="P2" s="2" t="inlineStr">
        <is>
          <t>Total Short</t>
        </is>
      </c>
    </row>
    <row r="3" ht="14" customHeight="1">
      <c r="A3" s="3" t="inlineStr">
        <is>
          <t>Jul 06 2026</t>
        </is>
      </c>
      <c r="B3" s="3" t="inlineStr">
        <is>
          <t>Client</t>
        </is>
      </c>
      <c r="C3" s="4" t="n">
        <v>35762</v>
      </c>
      <c r="D3" s="4" t="n">
        <v>43827</v>
      </c>
      <c r="E3" s="4" t="n">
        <v>275406</v>
      </c>
      <c r="F3" s="4" t="n">
        <v>308498</v>
      </c>
      <c r="G3" s="4" t="n">
        <v>26676122</v>
      </c>
      <c r="H3" s="4" t="n">
        <v>23340629</v>
      </c>
      <c r="I3" s="4" t="n">
        <v>26717715</v>
      </c>
      <c r="J3" s="4" t="n">
        <v>23240950</v>
      </c>
      <c r="K3" s="4" t="n">
        <v>1161255</v>
      </c>
      <c r="L3" s="4" t="n">
        <v>417475</v>
      </c>
      <c r="M3" s="4" t="n">
        <v>1138509</v>
      </c>
      <c r="N3" s="4" t="n">
        <v>399372</v>
      </c>
      <c r="O3" s="4" t="n">
        <v>51906649</v>
      </c>
      <c r="P3" s="4" t="n">
        <v>51848871</v>
      </c>
    </row>
    <row r="4" ht="14" customHeight="1">
      <c r="A4" s="5" t="inlineStr">
        <is>
          <t>Jul 06 2026</t>
        </is>
      </c>
      <c r="B4" s="5" t="inlineStr">
        <is>
          <t>DII</t>
        </is>
      </c>
      <c r="C4" s="6" t="n">
        <v>1760</v>
      </c>
      <c r="D4" s="6" t="n">
        <v>238</v>
      </c>
      <c r="E4" s="6" t="n">
        <v>83827</v>
      </c>
      <c r="F4" s="6" t="n">
        <v>58976</v>
      </c>
      <c r="G4" s="6" t="n">
        <v>195</v>
      </c>
      <c r="H4" s="6" t="n">
        <v>1074</v>
      </c>
      <c r="I4" s="6" t="n">
        <v>55</v>
      </c>
      <c r="J4" s="6" t="n">
        <v>1879</v>
      </c>
      <c r="K4" s="6" t="n">
        <v>262</v>
      </c>
      <c r="L4" s="6" t="n">
        <v>921</v>
      </c>
      <c r="M4" s="6" t="n">
        <v>37331</v>
      </c>
      <c r="N4" s="6" t="n">
        <v>891</v>
      </c>
      <c r="O4" s="6" t="n">
        <v>88039</v>
      </c>
      <c r="P4" s="6" t="n">
        <v>99370</v>
      </c>
    </row>
    <row r="5" ht="14" customHeight="1">
      <c r="A5" s="3" t="inlineStr">
        <is>
          <t>Jul 06 2026</t>
        </is>
      </c>
      <c r="B5" s="3" t="inlineStr">
        <is>
          <t>FII</t>
        </is>
      </c>
      <c r="C5" s="4" t="n">
        <v>17088</v>
      </c>
      <c r="D5" s="4" t="n">
        <v>7600</v>
      </c>
      <c r="E5" s="4" t="n">
        <v>249999</v>
      </c>
      <c r="F5" s="4" t="n">
        <v>225304</v>
      </c>
      <c r="G5" s="4" t="n">
        <v>3473359</v>
      </c>
      <c r="H5" s="4" t="n">
        <v>3702980</v>
      </c>
      <c r="I5" s="4" t="n">
        <v>3428539</v>
      </c>
      <c r="J5" s="4" t="n">
        <v>3723128</v>
      </c>
      <c r="K5" s="4" t="n">
        <v>186781</v>
      </c>
      <c r="L5" s="4" t="n">
        <v>110242</v>
      </c>
      <c r="M5" s="4" t="n">
        <v>193558</v>
      </c>
      <c r="N5" s="4" t="n">
        <v>112409</v>
      </c>
      <c r="O5" s="4" t="n">
        <v>7740449</v>
      </c>
      <c r="P5" s="4" t="n">
        <v>7690538</v>
      </c>
    </row>
    <row r="6" ht="14" customHeight="1">
      <c r="A6" s="5" t="inlineStr">
        <is>
          <t>Jul 06 2026</t>
        </is>
      </c>
      <c r="B6" s="5" t="inlineStr">
        <is>
          <t>Pro</t>
        </is>
      </c>
      <c r="C6" s="6" t="n">
        <v>13446</v>
      </c>
      <c r="D6" s="6" t="n">
        <v>16391</v>
      </c>
      <c r="E6" s="6" t="n">
        <v>325838</v>
      </c>
      <c r="F6" s="6" t="n">
        <v>342292</v>
      </c>
      <c r="G6" s="6" t="n">
        <v>35248941</v>
      </c>
      <c r="H6" s="6" t="n">
        <v>34721560</v>
      </c>
      <c r="I6" s="6" t="n">
        <v>35252308</v>
      </c>
      <c r="J6" s="6" t="n">
        <v>34800286</v>
      </c>
      <c r="K6" s="6" t="n">
        <v>1982791</v>
      </c>
      <c r="L6" s="6" t="n">
        <v>1039069</v>
      </c>
      <c r="M6" s="6" t="n">
        <v>1961691</v>
      </c>
      <c r="N6" s="6" t="n">
        <v>1055035</v>
      </c>
      <c r="O6" s="6" t="n">
        <v>73331645</v>
      </c>
      <c r="P6" s="6" t="n">
        <v>73428003</v>
      </c>
    </row>
    <row r="7" ht="14" customHeight="1">
      <c r="A7" s="3" t="inlineStr">
        <is>
          <t>Jul 07 2026</t>
        </is>
      </c>
      <c r="B7" s="3" t="inlineStr">
        <is>
          <t>Client</t>
        </is>
      </c>
      <c r="C7" s="4" t="n">
        <v>44003</v>
      </c>
      <c r="D7" s="4" t="n">
        <v>44476</v>
      </c>
      <c r="E7" s="4" t="n">
        <v>300539</v>
      </c>
      <c r="F7" s="4" t="n">
        <v>329430</v>
      </c>
      <c r="G7" s="4" t="n">
        <v>67402038</v>
      </c>
      <c r="H7" s="4" t="n">
        <v>70517568</v>
      </c>
      <c r="I7" s="4" t="n">
        <v>67225117</v>
      </c>
      <c r="J7" s="4" t="n">
        <v>71052698</v>
      </c>
      <c r="K7" s="4" t="n">
        <v>1267969</v>
      </c>
      <c r="L7" s="4" t="n">
        <v>473259</v>
      </c>
      <c r="M7" s="4" t="n">
        <v>1168014</v>
      </c>
      <c r="N7" s="4" t="n">
        <v>488926</v>
      </c>
      <c r="O7" s="4" t="n">
        <v>140005376</v>
      </c>
      <c r="P7" s="4" t="n">
        <v>140308661</v>
      </c>
    </row>
    <row r="8" ht="14" customHeight="1">
      <c r="A8" s="5" t="inlineStr">
        <is>
          <t>Jul 07 2026</t>
        </is>
      </c>
      <c r="B8" s="5" t="inlineStr">
        <is>
          <t>DII</t>
        </is>
      </c>
      <c r="C8" s="6" t="n">
        <v>3193</v>
      </c>
      <c r="D8" s="6" t="n">
        <v>45</v>
      </c>
      <c r="E8" s="6" t="n">
        <v>105193</v>
      </c>
      <c r="F8" s="6" t="n">
        <v>87353</v>
      </c>
      <c r="G8" s="6" t="n">
        <v>1170</v>
      </c>
      <c r="H8" s="6" t="n">
        <v>2483</v>
      </c>
      <c r="I8" s="6" t="n">
        <v>165</v>
      </c>
      <c r="J8" s="6" t="n">
        <v>1721</v>
      </c>
      <c r="K8" s="6" t="n">
        <v>484</v>
      </c>
      <c r="L8" s="6" t="n">
        <v>424</v>
      </c>
      <c r="M8" s="6" t="n">
        <v>45581</v>
      </c>
      <c r="N8" s="6" t="n">
        <v>2205</v>
      </c>
      <c r="O8" s="6" t="n">
        <v>112947</v>
      </c>
      <c r="P8" s="6" t="n">
        <v>137070</v>
      </c>
    </row>
    <row r="9" ht="14" customHeight="1">
      <c r="A9" s="3" t="inlineStr">
        <is>
          <t>Jul 07 2026</t>
        </is>
      </c>
      <c r="B9" s="3" t="inlineStr">
        <is>
          <t>FII</t>
        </is>
      </c>
      <c r="C9" s="4" t="n">
        <v>10046</v>
      </c>
      <c r="D9" s="4" t="n">
        <v>7605</v>
      </c>
      <c r="E9" s="4" t="n">
        <v>328521</v>
      </c>
      <c r="F9" s="4" t="n">
        <v>296873</v>
      </c>
      <c r="G9" s="4" t="n">
        <v>8184095</v>
      </c>
      <c r="H9" s="4" t="n">
        <v>9730830</v>
      </c>
      <c r="I9" s="4" t="n">
        <v>8561132</v>
      </c>
      <c r="J9" s="4" t="n">
        <v>9608221</v>
      </c>
      <c r="K9" s="4" t="n">
        <v>226994</v>
      </c>
      <c r="L9" s="4" t="n">
        <v>137836</v>
      </c>
      <c r="M9" s="4" t="n">
        <v>234659</v>
      </c>
      <c r="N9" s="4" t="n">
        <v>127671</v>
      </c>
      <c r="O9" s="4" t="n">
        <v>18618322</v>
      </c>
      <c r="P9" s="4" t="n">
        <v>18836161</v>
      </c>
    </row>
    <row r="10" ht="14" customHeight="1">
      <c r="A10" s="5" t="inlineStr">
        <is>
          <t>Jul 07 2026</t>
        </is>
      </c>
      <c r="B10" s="5" t="inlineStr">
        <is>
          <t>Pro</t>
        </is>
      </c>
      <c r="C10" s="6" t="n">
        <v>15625</v>
      </c>
      <c r="D10" s="6" t="n">
        <v>20741</v>
      </c>
      <c r="E10" s="6" t="n">
        <v>370719</v>
      </c>
      <c r="F10" s="6" t="n">
        <v>391316</v>
      </c>
      <c r="G10" s="6" t="n">
        <v>107696779</v>
      </c>
      <c r="H10" s="6" t="n">
        <v>125162220</v>
      </c>
      <c r="I10" s="6" t="n">
        <v>107497668</v>
      </c>
      <c r="J10" s="6" t="n">
        <v>124750461</v>
      </c>
      <c r="K10" s="6" t="n">
        <v>2218474</v>
      </c>
      <c r="L10" s="6" t="n">
        <v>1300942</v>
      </c>
      <c r="M10" s="6" t="n">
        <v>2265667</v>
      </c>
      <c r="N10" s="6" t="n">
        <v>1293659</v>
      </c>
      <c r="O10" s="6" t="n">
        <v>236764759</v>
      </c>
      <c r="P10" s="6" t="n">
        <v>236219512</v>
      </c>
    </row>
    <row r="11" ht="14" customHeight="1">
      <c r="A11" s="3" t="inlineStr">
        <is>
          <t>Jul 08 2026</t>
        </is>
      </c>
      <c r="B11" s="3" t="inlineStr">
        <is>
          <t>Client</t>
        </is>
      </c>
      <c r="C11" s="4" t="n">
        <v>108342</v>
      </c>
      <c r="D11" s="4" t="n">
        <v>85346</v>
      </c>
      <c r="E11" s="4" t="n">
        <v>376370</v>
      </c>
      <c r="F11" s="4" t="n">
        <v>429787</v>
      </c>
      <c r="G11" s="4" t="n">
        <v>13086884</v>
      </c>
      <c r="H11" s="4" t="n">
        <v>15396600</v>
      </c>
      <c r="I11" s="4" t="n">
        <v>12964040</v>
      </c>
      <c r="J11" s="4" t="n">
        <v>15510626</v>
      </c>
      <c r="K11" s="4" t="n">
        <v>1406004</v>
      </c>
      <c r="L11" s="4" t="n">
        <v>662761</v>
      </c>
      <c r="M11" s="4" t="n">
        <v>1327959</v>
      </c>
      <c r="N11" s="4" t="n">
        <v>752370</v>
      </c>
      <c r="O11" s="4" t="n">
        <v>31036961</v>
      </c>
      <c r="P11" s="4" t="n">
        <v>31070128</v>
      </c>
    </row>
    <row r="12" ht="14" customHeight="1">
      <c r="A12" s="5" t="inlineStr">
        <is>
          <t>Jul 08 2026</t>
        </is>
      </c>
      <c r="B12" s="5" t="inlineStr">
        <is>
          <t>DII</t>
        </is>
      </c>
      <c r="C12" s="6" t="n">
        <v>8194</v>
      </c>
      <c r="D12" s="6" t="n">
        <v>6208</v>
      </c>
      <c r="E12" s="6" t="n">
        <v>198232</v>
      </c>
      <c r="F12" s="6" t="n">
        <v>127019</v>
      </c>
      <c r="G12" s="6" t="n">
        <v>1655</v>
      </c>
      <c r="H12" s="6" t="n">
        <v>7900</v>
      </c>
      <c r="I12" s="6" t="n">
        <v>1050</v>
      </c>
      <c r="J12" s="6" t="n">
        <v>5898</v>
      </c>
      <c r="K12" s="6" t="n">
        <v>6019</v>
      </c>
      <c r="L12" s="6" t="n">
        <v>311</v>
      </c>
      <c r="M12" s="6" t="n">
        <v>25806</v>
      </c>
      <c r="N12" s="6" t="n">
        <v>800</v>
      </c>
      <c r="O12" s="6" t="n">
        <v>222311</v>
      </c>
      <c r="P12" s="6" t="n">
        <v>166781</v>
      </c>
    </row>
    <row r="13" ht="14" customHeight="1">
      <c r="A13" s="3" t="inlineStr">
        <is>
          <t>Jul 08 2026</t>
        </is>
      </c>
      <c r="B13" s="3" t="inlineStr">
        <is>
          <t>FII</t>
        </is>
      </c>
      <c r="C13" s="4" t="n">
        <v>15891</v>
      </c>
      <c r="D13" s="4" t="n">
        <v>45639</v>
      </c>
      <c r="E13" s="4" t="n">
        <v>415974</v>
      </c>
      <c r="F13" s="4" t="n">
        <v>442111</v>
      </c>
      <c r="G13" s="4" t="n">
        <v>2694308</v>
      </c>
      <c r="H13" s="4" t="n">
        <v>3045543</v>
      </c>
      <c r="I13" s="4" t="n">
        <v>2788938</v>
      </c>
      <c r="J13" s="4" t="n">
        <v>2942662</v>
      </c>
      <c r="K13" s="4" t="n">
        <v>327398</v>
      </c>
      <c r="L13" s="4" t="n">
        <v>222865</v>
      </c>
      <c r="M13" s="4" t="n">
        <v>345224</v>
      </c>
      <c r="N13" s="4" t="n">
        <v>184553</v>
      </c>
      <c r="O13" s="4" t="n">
        <v>6721979</v>
      </c>
      <c r="P13" s="4" t="n">
        <v>6749127</v>
      </c>
    </row>
    <row r="14" ht="14" customHeight="1">
      <c r="A14" s="5" t="inlineStr">
        <is>
          <t>Jul 08 2026</t>
        </is>
      </c>
      <c r="B14" s="5" t="inlineStr">
        <is>
          <t>Pro</t>
        </is>
      </c>
      <c r="C14" s="6" t="n">
        <v>53075</v>
      </c>
      <c r="D14" s="6" t="n">
        <v>48309</v>
      </c>
      <c r="E14" s="6" t="n">
        <v>514091</v>
      </c>
      <c r="F14" s="6" t="n">
        <v>505750</v>
      </c>
      <c r="G14" s="6" t="n">
        <v>17843951</v>
      </c>
      <c r="H14" s="6" t="n">
        <v>18795655</v>
      </c>
      <c r="I14" s="6" t="n">
        <v>17872770</v>
      </c>
      <c r="J14" s="6" t="n">
        <v>18786512</v>
      </c>
      <c r="K14" s="6" t="n">
        <v>2631306</v>
      </c>
      <c r="L14" s="6" t="n">
        <v>1818181</v>
      </c>
      <c r="M14" s="6" t="n">
        <v>2671738</v>
      </c>
      <c r="N14" s="6" t="n">
        <v>1766395</v>
      </c>
      <c r="O14" s="6" t="n">
        <v>41656259</v>
      </c>
      <c r="P14" s="6" t="n">
        <v>41651474</v>
      </c>
    </row>
    <row r="15" ht="14" customHeight="1">
      <c r="A15" s="3" t="inlineStr">
        <is>
          <t>Jul 09 2026</t>
        </is>
      </c>
      <c r="B15" s="3" t="inlineStr">
        <is>
          <t>Client</t>
        </is>
      </c>
      <c r="C15" s="4" t="n">
        <v>47912</v>
      </c>
      <c r="D15" s="4" t="n">
        <v>55451</v>
      </c>
      <c r="E15" s="4" t="n">
        <v>299088</v>
      </c>
      <c r="F15" s="4" t="n">
        <v>284199</v>
      </c>
      <c r="G15" s="4" t="n">
        <v>11053910</v>
      </c>
      <c r="H15" s="4" t="n">
        <v>9983897</v>
      </c>
      <c r="I15" s="4" t="n">
        <v>11176109</v>
      </c>
      <c r="J15" s="4" t="n">
        <v>10000535</v>
      </c>
      <c r="K15" s="4" t="n">
        <v>1260084</v>
      </c>
      <c r="L15" s="4" t="n">
        <v>516162</v>
      </c>
      <c r="M15" s="4" t="n">
        <v>1199585</v>
      </c>
      <c r="N15" s="4" t="n">
        <v>490106</v>
      </c>
      <c r="O15" s="4" t="n">
        <v>23161053</v>
      </c>
      <c r="P15" s="4" t="n">
        <v>23205985</v>
      </c>
    </row>
    <row r="16" ht="14" customHeight="1">
      <c r="A16" s="5" t="inlineStr">
        <is>
          <t>Jul 09 2026</t>
        </is>
      </c>
      <c r="B16" s="5" t="inlineStr">
        <is>
          <t>DII</t>
        </is>
      </c>
      <c r="C16" s="6" t="n">
        <v>270</v>
      </c>
      <c r="D16" s="6" t="n">
        <v>1819</v>
      </c>
      <c r="E16" s="6" t="n">
        <v>81926</v>
      </c>
      <c r="F16" s="6" t="n">
        <v>104839</v>
      </c>
      <c r="G16" s="6" t="n">
        <v>746</v>
      </c>
      <c r="H16" s="6" t="n">
        <v>2901</v>
      </c>
      <c r="I16" s="6" t="n">
        <v>450</v>
      </c>
      <c r="J16" s="6" t="n">
        <v>2421</v>
      </c>
      <c r="K16" s="6" t="n">
        <v>3534</v>
      </c>
      <c r="L16" s="6" t="n">
        <v>270</v>
      </c>
      <c r="M16" s="6" t="n">
        <v>37800</v>
      </c>
      <c r="N16" s="6" t="n">
        <v>1672</v>
      </c>
      <c r="O16" s="6" t="n">
        <v>89647</v>
      </c>
      <c r="P16" s="6" t="n">
        <v>149001</v>
      </c>
    </row>
    <row r="17" ht="14" customHeight="1">
      <c r="A17" s="3" t="inlineStr">
        <is>
          <t>Jul 09 2026</t>
        </is>
      </c>
      <c r="B17" s="3" t="inlineStr">
        <is>
          <t>FII</t>
        </is>
      </c>
      <c r="C17" s="4" t="n">
        <v>14122</v>
      </c>
      <c r="D17" s="4" t="n">
        <v>11787</v>
      </c>
      <c r="E17" s="4" t="n">
        <v>304073</v>
      </c>
      <c r="F17" s="4" t="n">
        <v>290057</v>
      </c>
      <c r="G17" s="4" t="n">
        <v>2294997</v>
      </c>
      <c r="H17" s="4" t="n">
        <v>2385535</v>
      </c>
      <c r="I17" s="4" t="n">
        <v>2268075</v>
      </c>
      <c r="J17" s="4" t="n">
        <v>2407974</v>
      </c>
      <c r="K17" s="4" t="n">
        <v>239239</v>
      </c>
      <c r="L17" s="4" t="n">
        <v>153861</v>
      </c>
      <c r="M17" s="4" t="n">
        <v>255194</v>
      </c>
      <c r="N17" s="4" t="n">
        <v>136954</v>
      </c>
      <c r="O17" s="4" t="n">
        <v>5391827</v>
      </c>
      <c r="P17" s="4" t="n">
        <v>5370041</v>
      </c>
    </row>
    <row r="18" ht="14" customHeight="1">
      <c r="A18" s="5" t="inlineStr">
        <is>
          <t>Jul 09 2026</t>
        </is>
      </c>
      <c r="B18" s="5" t="inlineStr">
        <is>
          <t>Pro</t>
        </is>
      </c>
      <c r="C18" s="6" t="n">
        <v>31716</v>
      </c>
      <c r="D18" s="6" t="n">
        <v>24963</v>
      </c>
      <c r="E18" s="6" t="n">
        <v>404570</v>
      </c>
      <c r="F18" s="6" t="n">
        <v>410562</v>
      </c>
      <c r="G18" s="6" t="n">
        <v>14814978</v>
      </c>
      <c r="H18" s="6" t="n">
        <v>13360494</v>
      </c>
      <c r="I18" s="6" t="n">
        <v>14719997</v>
      </c>
      <c r="J18" s="6" t="n">
        <v>13321897</v>
      </c>
      <c r="K18" s="6" t="n">
        <v>2308803</v>
      </c>
      <c r="L18" s="6" t="n">
        <v>1347915</v>
      </c>
      <c r="M18" s="6" t="n">
        <v>2319081</v>
      </c>
      <c r="N18" s="6" t="n">
        <v>1389476</v>
      </c>
      <c r="O18" s="6" t="n">
        <v>32268476</v>
      </c>
      <c r="P18" s="6" t="n">
        <v>32185976</v>
      </c>
    </row>
    <row r="19" ht="14" customHeight="1">
      <c r="A19" s="3" t="inlineStr">
        <is>
          <t>Jul 10 2026</t>
        </is>
      </c>
      <c r="B19" s="3" t="inlineStr">
        <is>
          <t>Client</t>
        </is>
      </c>
      <c r="C19" s="4" t="n">
        <v>40669</v>
      </c>
      <c r="D19" s="4" t="n">
        <v>50654</v>
      </c>
      <c r="E19" s="4" t="n">
        <v>319837</v>
      </c>
      <c r="F19" s="4" t="n">
        <v>351659</v>
      </c>
      <c r="G19" s="4" t="n">
        <v>19539463</v>
      </c>
      <c r="H19" s="4" t="n">
        <v>17998187</v>
      </c>
      <c r="I19" s="4" t="n">
        <v>19672563</v>
      </c>
      <c r="J19" s="4" t="n">
        <v>17982145</v>
      </c>
      <c r="K19" s="4" t="n">
        <v>1586406</v>
      </c>
      <c r="L19" s="4" t="n">
        <v>593679</v>
      </c>
      <c r="M19" s="4" t="n">
        <v>1596775</v>
      </c>
      <c r="N19" s="4" t="n">
        <v>566417</v>
      </c>
      <c r="O19" s="4" t="n">
        <v>40078241</v>
      </c>
      <c r="P19" s="4" t="n">
        <v>40220213</v>
      </c>
    </row>
    <row r="20" ht="14" customHeight="1">
      <c r="A20" s="5" t="inlineStr">
        <is>
          <t>Jul 10 2026</t>
        </is>
      </c>
      <c r="B20" s="5" t="inlineStr">
        <is>
          <t>DII</t>
        </is>
      </c>
      <c r="C20" s="6" t="n">
        <v>106</v>
      </c>
      <c r="D20" s="6" t="n">
        <v>2363</v>
      </c>
      <c r="E20" s="6" t="n">
        <v>79596</v>
      </c>
      <c r="F20" s="6" t="n">
        <v>74866</v>
      </c>
      <c r="G20" s="6" t="n">
        <v>50</v>
      </c>
      <c r="H20" s="6" t="n">
        <v>195</v>
      </c>
      <c r="I20" s="6" t="n">
        <v>1330</v>
      </c>
      <c r="J20" s="6" t="n">
        <v>40</v>
      </c>
      <c r="K20" s="6" t="n">
        <v>3971</v>
      </c>
      <c r="L20" s="6" t="n">
        <v>617</v>
      </c>
      <c r="M20" s="6" t="n">
        <v>10455</v>
      </c>
      <c r="N20" s="6" t="n">
        <v>997</v>
      </c>
      <c r="O20" s="6" t="n">
        <v>84535</v>
      </c>
      <c r="P20" s="6" t="n">
        <v>90051</v>
      </c>
    </row>
    <row r="21" ht="14" customHeight="1">
      <c r="A21" s="3" t="inlineStr">
        <is>
          <t>Jul 10 2026</t>
        </is>
      </c>
      <c r="B21" s="3" t="inlineStr">
        <is>
          <t>FII</t>
        </is>
      </c>
      <c r="C21" s="4" t="n">
        <v>18882</v>
      </c>
      <c r="D21" s="4" t="n">
        <v>7342</v>
      </c>
      <c r="E21" s="4" t="n">
        <v>298962</v>
      </c>
      <c r="F21" s="4" t="n">
        <v>252105</v>
      </c>
      <c r="G21" s="4" t="n">
        <v>2815989</v>
      </c>
      <c r="H21" s="4" t="n">
        <v>2855851</v>
      </c>
      <c r="I21" s="4" t="n">
        <v>2778372</v>
      </c>
      <c r="J21" s="4" t="n">
        <v>2901518</v>
      </c>
      <c r="K21" s="4" t="n">
        <v>146425</v>
      </c>
      <c r="L21" s="4" t="n">
        <v>92377</v>
      </c>
      <c r="M21" s="4" t="n">
        <v>151577</v>
      </c>
      <c r="N21" s="4" t="n">
        <v>95669</v>
      </c>
      <c r="O21" s="4" t="n">
        <v>6228486</v>
      </c>
      <c r="P21" s="4" t="n">
        <v>6186583</v>
      </c>
    </row>
    <row r="22" ht="14" customHeight="1">
      <c r="A22" s="5" t="inlineStr">
        <is>
          <t>Jul 10 2026</t>
        </is>
      </c>
      <c r="B22" s="5" t="inlineStr">
        <is>
          <t>Pro</t>
        </is>
      </c>
      <c r="C22" s="6" t="n">
        <v>18097</v>
      </c>
      <c r="D22" s="6" t="n">
        <v>17395</v>
      </c>
      <c r="E22" s="6" t="n">
        <v>378884</v>
      </c>
      <c r="F22" s="6" t="n">
        <v>398649</v>
      </c>
      <c r="G22" s="6" t="n">
        <v>23059141</v>
      </c>
      <c r="H22" s="6" t="n">
        <v>21952478</v>
      </c>
      <c r="I22" s="6" t="n">
        <v>22962378</v>
      </c>
      <c r="J22" s="6" t="n">
        <v>21923008</v>
      </c>
      <c r="K22" s="6" t="n">
        <v>2592408</v>
      </c>
      <c r="L22" s="6" t="n">
        <v>1384626</v>
      </c>
      <c r="M22" s="6" t="n">
        <v>2570403</v>
      </c>
      <c r="N22" s="6" t="n">
        <v>1408216</v>
      </c>
      <c r="O22" s="6" t="n">
        <v>49385634</v>
      </c>
      <c r="P22" s="6" t="n">
        <v>49280049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2" customHeight="1">
      <c r="A1" s="1" t="inlineStr">
        <is>
          <t>NSE FAO — Raw Option Chain Data</t>
        </is>
      </c>
    </row>
    <row r="2" ht="16" customHeight="1">
      <c r="A2" s="7" t="inlineStr"/>
      <c r="C2" s="8" t="inlineStr">
        <is>
          <t>CALLS</t>
        </is>
      </c>
      <c r="D2" s="9" t="n"/>
      <c r="E2" s="9" t="n"/>
      <c r="F2" s="9" t="n"/>
      <c r="G2" s="9" t="n"/>
      <c r="H2" s="9" t="n"/>
      <c r="I2" s="9" t="n"/>
      <c r="J2" s="10" t="inlineStr">
        <is>
          <t>PUTS</t>
        </is>
      </c>
      <c r="K2" s="11" t="n"/>
      <c r="L2" s="11" t="n"/>
      <c r="M2" s="11" t="n"/>
      <c r="N2" s="11" t="n"/>
    </row>
    <row r="3" ht="28" customHeight="1">
      <c r="A3" s="2" t="inlineStr">
        <is>
          <t>Date</t>
        </is>
      </c>
      <c r="B3" s="2" t="inlineStr">
        <is>
          <t>Strike</t>
        </is>
      </c>
      <c r="C3" s="12" t="inlineStr">
        <is>
          <t>Call OI</t>
        </is>
      </c>
      <c r="D3" s="12" t="inlineStr">
        <is>
          <t>Call ΔOI</t>
        </is>
      </c>
      <c r="E3" s="12" t="inlineStr">
        <is>
          <t>Call Vol</t>
        </is>
      </c>
      <c r="F3" s="12" t="inlineStr">
        <is>
          <t>Call IV</t>
        </is>
      </c>
      <c r="G3" s="12" t="inlineStr">
        <is>
          <t>Call LTP</t>
        </is>
      </c>
      <c r="H3" s="12" t="inlineStr">
        <is>
          <t>Call Chng</t>
        </is>
      </c>
      <c r="I3" s="12" t="inlineStr">
        <is>
          <t>Put OI</t>
        </is>
      </c>
      <c r="J3" s="13" t="inlineStr">
        <is>
          <t>Put ΔOI</t>
        </is>
      </c>
      <c r="K3" s="13" t="inlineStr">
        <is>
          <t>Put Vol</t>
        </is>
      </c>
      <c r="L3" s="13" t="inlineStr">
        <is>
          <t>Put IV</t>
        </is>
      </c>
      <c r="M3" s="13" t="inlineStr">
        <is>
          <t>Put LTP</t>
        </is>
      </c>
      <c r="N3" s="13" t="inlineStr">
        <is>
          <t>Put Chng</t>
        </is>
      </c>
    </row>
    <row r="4" ht="14" customHeight="1">
      <c r="A4" s="14" t="inlineStr">
        <is>
          <t>Jul 10 2026</t>
        </is>
      </c>
    </row>
    <row r="5" ht="13" customHeight="1">
      <c r="A5" s="15" t="inlineStr">
        <is>
          <t>Jul 10 2026</t>
        </is>
      </c>
      <c r="B5" s="6" t="n">
        <v>21400</v>
      </c>
      <c r="C5" s="6" t="n">
        <v>4</v>
      </c>
      <c r="D5" s="6" t="n">
        <v>0</v>
      </c>
      <c r="E5" s="6" t="n">
        <v>3</v>
      </c>
      <c r="F5" s="15" t="n"/>
      <c r="G5" s="16" t="n">
        <v>2820</v>
      </c>
      <c r="H5" s="16" t="n">
        <v>106.2</v>
      </c>
      <c r="I5" s="6" t="n">
        <v>44925</v>
      </c>
      <c r="J5" s="6" t="n">
        <v>5835</v>
      </c>
      <c r="K5" s="6" t="n">
        <v>46894</v>
      </c>
      <c r="L5" s="16" t="n">
        <v>42.32</v>
      </c>
      <c r="M5" s="16" t="n">
        <v>0.75</v>
      </c>
      <c r="N5" s="16" t="n">
        <v>-0.15</v>
      </c>
    </row>
    <row r="6" ht="13" customHeight="1">
      <c r="A6" s="17" t="inlineStr">
        <is>
          <t>Jul 10 2026</t>
        </is>
      </c>
      <c r="B6" s="4" t="n">
        <v>21450</v>
      </c>
      <c r="C6" s="4" t="n">
        <v>32</v>
      </c>
      <c r="D6" s="4" t="n">
        <v>-1</v>
      </c>
      <c r="E6" s="4" t="n">
        <v>16</v>
      </c>
      <c r="F6" s="17" t="n"/>
      <c r="G6" s="18" t="n">
        <v>2759.2</v>
      </c>
      <c r="H6" s="18" t="n">
        <v>112.6</v>
      </c>
      <c r="I6" s="4" t="n">
        <v>1722</v>
      </c>
      <c r="J6" s="4" t="n">
        <v>724</v>
      </c>
      <c r="K6" s="4" t="n">
        <v>6870</v>
      </c>
      <c r="L6" s="18" t="n">
        <v>42.34</v>
      </c>
      <c r="M6" s="18" t="n">
        <v>0.9</v>
      </c>
      <c r="N6" s="18" t="n">
        <v>-0.05</v>
      </c>
    </row>
    <row r="7" ht="13" customHeight="1">
      <c r="A7" s="15" t="inlineStr">
        <is>
          <t>Jul 10 2026</t>
        </is>
      </c>
      <c r="B7" s="6" t="n">
        <v>21500</v>
      </c>
      <c r="C7" s="6" t="n">
        <v>36</v>
      </c>
      <c r="D7" s="6" t="n">
        <v>-1</v>
      </c>
      <c r="E7" s="6" t="n">
        <v>2</v>
      </c>
      <c r="F7" s="15" t="n"/>
      <c r="G7" s="16" t="n">
        <v>2673.4</v>
      </c>
      <c r="H7" s="16" t="n">
        <v>144.7</v>
      </c>
      <c r="I7" s="6" t="n">
        <v>31422</v>
      </c>
      <c r="J7" s="6" t="n">
        <v>1102</v>
      </c>
      <c r="K7" s="6" t="n">
        <v>85224</v>
      </c>
      <c r="L7" s="16" t="n">
        <v>41.38</v>
      </c>
      <c r="M7" s="16" t="n">
        <v>0.85</v>
      </c>
      <c r="N7" s="16" t="n">
        <v>-0.1</v>
      </c>
    </row>
    <row r="8" ht="13" customHeight="1">
      <c r="A8" s="17" t="inlineStr">
        <is>
          <t>Jul 10 2026</t>
        </is>
      </c>
      <c r="B8" s="4" t="n">
        <v>21550</v>
      </c>
      <c r="C8" s="4" t="n">
        <v>31</v>
      </c>
      <c r="D8" s="4" t="n">
        <v>-7</v>
      </c>
      <c r="E8" s="4" t="n">
        <v>19</v>
      </c>
      <c r="F8" s="17" t="n"/>
      <c r="G8" s="18" t="n">
        <v>2660.9</v>
      </c>
      <c r="H8" s="18" t="n">
        <v>211.85</v>
      </c>
      <c r="I8" s="4" t="n">
        <v>1482</v>
      </c>
      <c r="J8" s="4" t="n">
        <v>603</v>
      </c>
      <c r="K8" s="4" t="n">
        <v>4879</v>
      </c>
      <c r="L8" s="18" t="n">
        <v>40.65</v>
      </c>
      <c r="M8" s="18" t="n">
        <v>0.85</v>
      </c>
      <c r="N8" s="18" t="n">
        <v>-0.1</v>
      </c>
    </row>
    <row r="9" ht="13" customHeight="1">
      <c r="A9" s="15" t="inlineStr">
        <is>
          <t>Jul 10 2026</t>
        </is>
      </c>
      <c r="B9" s="6" t="n">
        <v>21600</v>
      </c>
      <c r="C9" s="6" t="n">
        <v>15</v>
      </c>
      <c r="D9" s="6" t="n">
        <v>-11</v>
      </c>
      <c r="E9" s="6" t="n">
        <v>11</v>
      </c>
      <c r="F9" s="15" t="n"/>
      <c r="G9" s="16" t="n">
        <v>2610.35</v>
      </c>
      <c r="H9" s="16" t="n">
        <v>150</v>
      </c>
      <c r="I9" s="6" t="n">
        <v>5526</v>
      </c>
      <c r="J9" s="6" t="n">
        <v>1391</v>
      </c>
      <c r="K9" s="6" t="n">
        <v>29596</v>
      </c>
      <c r="L9" s="16" t="n">
        <v>40.36</v>
      </c>
      <c r="M9" s="16" t="n">
        <v>0.95</v>
      </c>
      <c r="N9" s="16" t="n">
        <v>-0.1</v>
      </c>
    </row>
    <row r="10" ht="13" customHeight="1">
      <c r="A10" s="17" t="inlineStr">
        <is>
          <t>Jul 10 2026</t>
        </is>
      </c>
      <c r="B10" s="4" t="n">
        <v>21650</v>
      </c>
      <c r="C10" s="4" t="n">
        <v>46</v>
      </c>
      <c r="D10" s="4" t="n">
        <v>-1</v>
      </c>
      <c r="E10" s="4" t="n">
        <v>19</v>
      </c>
      <c r="F10" s="17" t="n"/>
      <c r="G10" s="18" t="n">
        <v>2565.25</v>
      </c>
      <c r="H10" s="18" t="n">
        <v>157.6</v>
      </c>
      <c r="I10" s="4" t="n">
        <v>1296</v>
      </c>
      <c r="J10" s="4" t="n">
        <v>605</v>
      </c>
      <c r="K10" s="4" t="n">
        <v>4521</v>
      </c>
      <c r="L10" s="18" t="n">
        <v>39.63</v>
      </c>
      <c r="M10" s="18" t="n">
        <v>0.95</v>
      </c>
      <c r="N10" s="18" t="n">
        <v>-0.05</v>
      </c>
    </row>
    <row r="11" ht="13" customHeight="1">
      <c r="A11" s="15" t="inlineStr">
        <is>
          <t>Jul 10 2026</t>
        </is>
      </c>
      <c r="B11" s="6" t="n">
        <v>21700</v>
      </c>
      <c r="C11" s="6" t="n">
        <v>61</v>
      </c>
      <c r="D11" s="6" t="n">
        <v>-6</v>
      </c>
      <c r="E11" s="6" t="n">
        <v>16</v>
      </c>
      <c r="F11" s="15" t="n"/>
      <c r="G11" s="16" t="n">
        <v>2509.05</v>
      </c>
      <c r="H11" s="16" t="n">
        <v>256.45</v>
      </c>
      <c r="I11" s="6" t="n">
        <v>5187</v>
      </c>
      <c r="J11" s="6" t="n">
        <v>2837</v>
      </c>
      <c r="K11" s="6" t="n">
        <v>42257</v>
      </c>
      <c r="L11" s="16" t="n">
        <v>39.1</v>
      </c>
      <c r="M11" s="16" t="n">
        <v>1</v>
      </c>
      <c r="N11" s="15" t="n"/>
    </row>
    <row r="12" ht="13" customHeight="1">
      <c r="A12" s="17" t="inlineStr">
        <is>
          <t>Jul 10 2026</t>
        </is>
      </c>
      <c r="B12" s="4" t="n">
        <v>21750</v>
      </c>
      <c r="C12" s="4" t="n">
        <v>30</v>
      </c>
      <c r="D12" s="4" t="n">
        <v>-12</v>
      </c>
      <c r="E12" s="4" t="n">
        <v>14</v>
      </c>
      <c r="F12" s="17" t="n"/>
      <c r="G12" s="18" t="n">
        <v>2410</v>
      </c>
      <c r="H12" s="18" t="n">
        <v>173.4</v>
      </c>
      <c r="I12" s="4" t="n">
        <v>992</v>
      </c>
      <c r="J12" s="4" t="n">
        <v>391</v>
      </c>
      <c r="K12" s="4" t="n">
        <v>2857</v>
      </c>
      <c r="L12" s="18" t="n">
        <v>38.55</v>
      </c>
      <c r="M12" s="18" t="n">
        <v>1.05</v>
      </c>
      <c r="N12" s="18" t="n">
        <v>-0.05</v>
      </c>
    </row>
    <row r="13" ht="13" customHeight="1">
      <c r="A13" s="15" t="inlineStr">
        <is>
          <t>Jul 10 2026</t>
        </is>
      </c>
      <c r="B13" s="6" t="n">
        <v>21800</v>
      </c>
      <c r="C13" s="6" t="n">
        <v>6</v>
      </c>
      <c r="D13" s="6" t="n">
        <v>0</v>
      </c>
      <c r="E13" s="6" t="n">
        <v>0</v>
      </c>
      <c r="F13" s="15" t="n"/>
      <c r="G13" s="16" t="n">
        <v>2139.8</v>
      </c>
      <c r="H13" s="15" t="n"/>
      <c r="I13" s="6" t="n">
        <v>13563</v>
      </c>
      <c r="J13" s="6" t="n">
        <v>2662</v>
      </c>
      <c r="K13" s="6" t="n">
        <v>63202</v>
      </c>
      <c r="L13" s="16" t="n">
        <v>37.81</v>
      </c>
      <c r="M13" s="16" t="n">
        <v>1.05</v>
      </c>
      <c r="N13" s="15" t="n"/>
    </row>
    <row r="14" ht="13" customHeight="1">
      <c r="A14" s="17" t="inlineStr">
        <is>
          <t>Jul 10 2026</t>
        </is>
      </c>
      <c r="B14" s="4" t="n">
        <v>21850</v>
      </c>
      <c r="C14" s="4" t="n">
        <v>7</v>
      </c>
      <c r="D14" s="4" t="n">
        <v>-6</v>
      </c>
      <c r="E14" s="4" t="n">
        <v>6</v>
      </c>
      <c r="F14" s="17" t="n"/>
      <c r="G14" s="18" t="n">
        <v>2354.25</v>
      </c>
      <c r="H14" s="18" t="n">
        <v>199</v>
      </c>
      <c r="I14" s="4" t="n">
        <v>1653</v>
      </c>
      <c r="J14" s="4" t="n">
        <v>803</v>
      </c>
      <c r="K14" s="4" t="n">
        <v>8576</v>
      </c>
      <c r="L14" s="18" t="n">
        <v>37.07</v>
      </c>
      <c r="M14" s="18" t="n">
        <v>1.05</v>
      </c>
      <c r="N14" s="18" t="n">
        <v>-0.2</v>
      </c>
    </row>
    <row r="15" ht="13" customHeight="1">
      <c r="A15" s="15" t="inlineStr">
        <is>
          <t>Jul 10 2026</t>
        </is>
      </c>
      <c r="B15" s="6" t="n">
        <v>21900</v>
      </c>
      <c r="C15" s="6" t="n">
        <v>16</v>
      </c>
      <c r="D15" s="6" t="n">
        <v>0</v>
      </c>
      <c r="E15" s="6" t="n">
        <v>0</v>
      </c>
      <c r="F15" s="16" t="n">
        <v>52.41</v>
      </c>
      <c r="G15" s="16" t="n">
        <v>2112.05</v>
      </c>
      <c r="H15" s="15" t="n"/>
      <c r="I15" s="6" t="n">
        <v>5124</v>
      </c>
      <c r="J15" s="6" t="n">
        <v>2149</v>
      </c>
      <c r="K15" s="6" t="n">
        <v>23336</v>
      </c>
      <c r="L15" s="16" t="n">
        <v>36.68</v>
      </c>
      <c r="M15" s="16" t="n">
        <v>1.15</v>
      </c>
      <c r="N15" s="16" t="n">
        <v>-0.15</v>
      </c>
    </row>
    <row r="16" ht="13" customHeight="1">
      <c r="A16" s="17" t="inlineStr">
        <is>
          <t>Jul 10 2026</t>
        </is>
      </c>
      <c r="B16" s="4" t="n">
        <v>21950</v>
      </c>
      <c r="C16" s="4" t="n">
        <v>50</v>
      </c>
      <c r="D16" s="4" t="n">
        <v>0</v>
      </c>
      <c r="E16" s="4" t="n">
        <v>5</v>
      </c>
      <c r="F16" s="17" t="n"/>
      <c r="G16" s="18" t="n">
        <v>2231.85</v>
      </c>
      <c r="H16" s="18" t="n">
        <v>196.3</v>
      </c>
      <c r="I16" s="4" t="n">
        <v>1751</v>
      </c>
      <c r="J16" s="4" t="n">
        <v>569</v>
      </c>
      <c r="K16" s="4" t="n">
        <v>14101</v>
      </c>
      <c r="L16" s="18" t="n">
        <v>36.1</v>
      </c>
      <c r="M16" s="18" t="n">
        <v>1.2</v>
      </c>
      <c r="N16" s="18" t="n">
        <v>-0.15</v>
      </c>
    </row>
    <row r="17" ht="13" customHeight="1">
      <c r="A17" s="15" t="inlineStr">
        <is>
          <t>Jul 10 2026</t>
        </is>
      </c>
      <c r="B17" s="6" t="n">
        <v>22000</v>
      </c>
      <c r="C17" s="6" t="n">
        <v>50</v>
      </c>
      <c r="D17" s="6" t="n">
        <v>-1</v>
      </c>
      <c r="E17" s="6" t="n">
        <v>3</v>
      </c>
      <c r="F17" s="15" t="n"/>
      <c r="G17" s="16" t="n">
        <v>2219.3</v>
      </c>
      <c r="H17" s="16" t="n">
        <v>293.6</v>
      </c>
      <c r="I17" s="6" t="n">
        <v>65388</v>
      </c>
      <c r="J17" s="6" t="n">
        <v>7740</v>
      </c>
      <c r="K17" s="6" t="n">
        <v>189567</v>
      </c>
      <c r="L17" s="16" t="n">
        <v>35.66</v>
      </c>
      <c r="M17" s="16" t="n">
        <v>1.3</v>
      </c>
      <c r="N17" s="16" t="n">
        <v>-0.15</v>
      </c>
    </row>
    <row r="18" ht="13" customHeight="1">
      <c r="A18" s="17" t="inlineStr">
        <is>
          <t>Jul 10 2026</t>
        </is>
      </c>
      <c r="B18" s="4" t="n">
        <v>22050</v>
      </c>
      <c r="C18" s="4" t="n">
        <v>25</v>
      </c>
      <c r="D18" s="4" t="n">
        <v>-17</v>
      </c>
      <c r="E18" s="4" t="n">
        <v>17</v>
      </c>
      <c r="F18" s="17" t="n"/>
      <c r="G18" s="18" t="n">
        <v>2159</v>
      </c>
      <c r="H18" s="18" t="n">
        <v>274.2</v>
      </c>
      <c r="I18" s="4" t="n">
        <v>3066</v>
      </c>
      <c r="J18" s="4" t="n">
        <v>472</v>
      </c>
      <c r="K18" s="4" t="n">
        <v>21583</v>
      </c>
      <c r="L18" s="18" t="n">
        <v>35.05</v>
      </c>
      <c r="M18" s="18" t="n">
        <v>1.35</v>
      </c>
      <c r="N18" s="18" t="n">
        <v>-0.15</v>
      </c>
    </row>
    <row r="19" ht="13" customHeight="1">
      <c r="A19" s="15" t="inlineStr">
        <is>
          <t>Jul 10 2026</t>
        </is>
      </c>
      <c r="B19" s="6" t="n">
        <v>22100</v>
      </c>
      <c r="C19" s="6" t="n">
        <v>52</v>
      </c>
      <c r="D19" s="6" t="n">
        <v>0</v>
      </c>
      <c r="E19" s="6" t="n">
        <v>4</v>
      </c>
      <c r="F19" s="15" t="n"/>
      <c r="G19" s="16" t="n">
        <v>2090.9</v>
      </c>
      <c r="H19" s="16" t="n">
        <v>231.25</v>
      </c>
      <c r="I19" s="6" t="n">
        <v>7998</v>
      </c>
      <c r="J19" s="6" t="n">
        <v>3754</v>
      </c>
      <c r="K19" s="6" t="n">
        <v>43806</v>
      </c>
      <c r="L19" s="16" t="n">
        <v>33.71</v>
      </c>
      <c r="M19" s="16" t="n">
        <v>1.15</v>
      </c>
      <c r="N19" s="16" t="n">
        <v>-0.4</v>
      </c>
    </row>
    <row r="20" ht="13" customHeight="1">
      <c r="A20" s="17" t="inlineStr">
        <is>
          <t>Jul 10 2026</t>
        </is>
      </c>
      <c r="B20" s="4" t="n">
        <v>22150</v>
      </c>
      <c r="C20" s="4" t="n">
        <v>25</v>
      </c>
      <c r="D20" s="4" t="n">
        <v>-7</v>
      </c>
      <c r="E20" s="4" t="n">
        <v>21</v>
      </c>
      <c r="F20" s="17" t="n"/>
      <c r="G20" s="18" t="n">
        <v>2058.95</v>
      </c>
      <c r="H20" s="18" t="n">
        <v>198.05</v>
      </c>
      <c r="I20" s="4" t="n">
        <v>2092</v>
      </c>
      <c r="J20" s="4" t="n">
        <v>442</v>
      </c>
      <c r="K20" s="4" t="n">
        <v>26880</v>
      </c>
      <c r="L20" s="18" t="n">
        <v>33.54</v>
      </c>
      <c r="M20" s="18" t="n">
        <v>1.35</v>
      </c>
      <c r="N20" s="18" t="n">
        <v>-0.35</v>
      </c>
    </row>
    <row r="21" ht="13" customHeight="1">
      <c r="A21" s="15" t="inlineStr">
        <is>
          <t>Jul 10 2026</t>
        </is>
      </c>
      <c r="B21" s="6" t="n">
        <v>22200</v>
      </c>
      <c r="C21" s="6" t="n">
        <v>29</v>
      </c>
      <c r="D21" s="6" t="n">
        <v>-2</v>
      </c>
      <c r="E21" s="6" t="n">
        <v>12</v>
      </c>
      <c r="F21" s="15" t="n"/>
      <c r="G21" s="16" t="n">
        <v>2011.9</v>
      </c>
      <c r="H21" s="16" t="n">
        <v>229.3</v>
      </c>
      <c r="I21" s="6" t="n">
        <v>20160</v>
      </c>
      <c r="J21" s="6" t="n">
        <v>6194</v>
      </c>
      <c r="K21" s="6" t="n">
        <v>102632</v>
      </c>
      <c r="L21" s="16" t="n">
        <v>32.79</v>
      </c>
      <c r="M21" s="16" t="n">
        <v>1.35</v>
      </c>
      <c r="N21" s="16" t="n">
        <v>-0.4</v>
      </c>
    </row>
    <row r="22" ht="13" customHeight="1">
      <c r="A22" s="17" t="inlineStr">
        <is>
          <t>Jul 10 2026</t>
        </is>
      </c>
      <c r="B22" s="4" t="n">
        <v>22250</v>
      </c>
      <c r="C22" s="4" t="n">
        <v>8</v>
      </c>
      <c r="D22" s="4" t="n">
        <v>5</v>
      </c>
      <c r="E22" s="4" t="n">
        <v>11</v>
      </c>
      <c r="F22" s="17" t="n"/>
      <c r="G22" s="18" t="n">
        <v>1955.9</v>
      </c>
      <c r="H22" s="18" t="n">
        <v>207.6</v>
      </c>
      <c r="I22" s="4" t="n">
        <v>2824</v>
      </c>
      <c r="J22" s="4" t="n">
        <v>136</v>
      </c>
      <c r="K22" s="4" t="n">
        <v>25041</v>
      </c>
      <c r="L22" s="18" t="n">
        <v>32.17</v>
      </c>
      <c r="M22" s="18" t="n">
        <v>1.4</v>
      </c>
      <c r="N22" s="18" t="n">
        <v>-0.45</v>
      </c>
    </row>
    <row r="23" ht="13" customHeight="1">
      <c r="A23" s="15" t="inlineStr">
        <is>
          <t>Jul 10 2026</t>
        </is>
      </c>
      <c r="B23" s="6" t="n">
        <v>22300</v>
      </c>
      <c r="C23" s="6" t="n">
        <v>15</v>
      </c>
      <c r="D23" s="6" t="n">
        <v>-4</v>
      </c>
      <c r="E23" s="6" t="n">
        <v>6</v>
      </c>
      <c r="F23" s="16" t="n">
        <v>47.99</v>
      </c>
      <c r="G23" s="16" t="n">
        <v>1955.1</v>
      </c>
      <c r="H23" s="16" t="n">
        <v>173</v>
      </c>
      <c r="I23" s="6" t="n">
        <v>20565</v>
      </c>
      <c r="J23" s="6" t="n">
        <v>10157</v>
      </c>
      <c r="K23" s="6" t="n">
        <v>113900</v>
      </c>
      <c r="L23" s="16" t="n">
        <v>31.54</v>
      </c>
      <c r="M23" s="16" t="n">
        <v>1.45</v>
      </c>
      <c r="N23" s="16" t="n">
        <v>-0.45</v>
      </c>
    </row>
    <row r="24" ht="13" customHeight="1">
      <c r="A24" s="17" t="inlineStr">
        <is>
          <t>Jul 10 2026</t>
        </is>
      </c>
      <c r="B24" s="4" t="n">
        <v>22350</v>
      </c>
      <c r="C24" s="4" t="n">
        <v>32</v>
      </c>
      <c r="D24" s="4" t="n">
        <v>-14</v>
      </c>
      <c r="E24" s="4" t="n">
        <v>14</v>
      </c>
      <c r="F24" s="17" t="n"/>
      <c r="G24" s="18" t="n">
        <v>1861.45</v>
      </c>
      <c r="H24" s="18" t="n">
        <v>176.45</v>
      </c>
      <c r="I24" s="4" t="n">
        <v>2896</v>
      </c>
      <c r="J24" s="4" t="n">
        <v>-98</v>
      </c>
      <c r="K24" s="4" t="n">
        <v>26184</v>
      </c>
      <c r="L24" s="18" t="n">
        <v>30.9</v>
      </c>
      <c r="M24" s="18" t="n">
        <v>1.5</v>
      </c>
      <c r="N24" s="18" t="n">
        <v>-0.5</v>
      </c>
    </row>
    <row r="25" ht="13" customHeight="1">
      <c r="A25" s="15" t="inlineStr">
        <is>
          <t>Jul 10 2026</t>
        </is>
      </c>
      <c r="B25" s="6" t="n">
        <v>22400</v>
      </c>
      <c r="C25" s="6" t="n">
        <v>32</v>
      </c>
      <c r="D25" s="6" t="n">
        <v>-8</v>
      </c>
      <c r="E25" s="6" t="n">
        <v>12</v>
      </c>
      <c r="F25" s="15" t="n"/>
      <c r="G25" s="16" t="n">
        <v>1811.5</v>
      </c>
      <c r="H25" s="16" t="n">
        <v>146.75</v>
      </c>
      <c r="I25" s="6" t="n">
        <v>12982</v>
      </c>
      <c r="J25" s="6" t="n">
        <v>919</v>
      </c>
      <c r="K25" s="6" t="n">
        <v>108673</v>
      </c>
      <c r="L25" s="16" t="n">
        <v>30.14</v>
      </c>
      <c r="M25" s="16" t="n">
        <v>1.5</v>
      </c>
      <c r="N25" s="16" t="n">
        <v>-0.65</v>
      </c>
    </row>
    <row r="26" ht="13" customHeight="1">
      <c r="A26" s="17" t="inlineStr">
        <is>
          <t>Jul 10 2026</t>
        </is>
      </c>
      <c r="B26" s="4" t="n">
        <v>22450</v>
      </c>
      <c r="C26" s="4" t="n">
        <v>18</v>
      </c>
      <c r="D26" s="4" t="n">
        <v>0</v>
      </c>
      <c r="E26" s="4" t="n">
        <v>1</v>
      </c>
      <c r="F26" s="17" t="n"/>
      <c r="G26" s="18" t="n">
        <v>1723.45</v>
      </c>
      <c r="H26" s="18" t="n">
        <v>188.85</v>
      </c>
      <c r="I26" s="4" t="n">
        <v>5141</v>
      </c>
      <c r="J26" s="4" t="n">
        <v>2972</v>
      </c>
      <c r="K26" s="4" t="n">
        <v>40753</v>
      </c>
      <c r="L26" s="18" t="n">
        <v>29.6</v>
      </c>
      <c r="M26" s="18" t="n">
        <v>1.6</v>
      </c>
      <c r="N26" s="18" t="n">
        <v>-0.75</v>
      </c>
    </row>
    <row r="27" ht="13" customHeight="1">
      <c r="A27" s="15" t="inlineStr">
        <is>
          <t>Jul 10 2026</t>
        </is>
      </c>
      <c r="B27" s="6" t="n">
        <v>22500</v>
      </c>
      <c r="C27" s="6" t="n">
        <v>182</v>
      </c>
      <c r="D27" s="6" t="n">
        <v>-2</v>
      </c>
      <c r="E27" s="6" t="n">
        <v>29</v>
      </c>
      <c r="F27" s="15" t="n"/>
      <c r="G27" s="16" t="n">
        <v>1717.35</v>
      </c>
      <c r="H27" s="16" t="n">
        <v>267.6</v>
      </c>
      <c r="I27" s="6" t="n">
        <v>108674</v>
      </c>
      <c r="J27" s="6" t="n">
        <v>13919</v>
      </c>
      <c r="K27" s="6" t="n">
        <v>550357</v>
      </c>
      <c r="L27" s="16" t="n">
        <v>28.61</v>
      </c>
      <c r="M27" s="16" t="n">
        <v>1.5</v>
      </c>
      <c r="N27" s="16" t="n">
        <v>-0.95</v>
      </c>
    </row>
    <row r="28" ht="13" customHeight="1">
      <c r="A28" s="17" t="inlineStr">
        <is>
          <t>Jul 10 2026</t>
        </is>
      </c>
      <c r="B28" s="4" t="n">
        <v>22550</v>
      </c>
      <c r="C28" s="4" t="n">
        <v>34</v>
      </c>
      <c r="D28" s="4" t="n">
        <v>-7</v>
      </c>
      <c r="E28" s="4" t="n">
        <v>13</v>
      </c>
      <c r="F28" s="17" t="n"/>
      <c r="G28" s="18" t="n">
        <v>1609.05</v>
      </c>
      <c r="H28" s="18" t="n">
        <v>179.3</v>
      </c>
      <c r="I28" s="4" t="n">
        <v>9829</v>
      </c>
      <c r="J28" s="4" t="n">
        <v>2705</v>
      </c>
      <c r="K28" s="4" t="n">
        <v>78551</v>
      </c>
      <c r="L28" s="18" t="n">
        <v>27.85</v>
      </c>
      <c r="M28" s="18" t="n">
        <v>1.5</v>
      </c>
      <c r="N28" s="18" t="n">
        <v>-1.05</v>
      </c>
    </row>
    <row r="29" ht="13" customHeight="1">
      <c r="A29" s="15" t="inlineStr">
        <is>
          <t>Jul 10 2026</t>
        </is>
      </c>
      <c r="B29" s="6" t="n">
        <v>22600</v>
      </c>
      <c r="C29" s="6" t="n">
        <v>37</v>
      </c>
      <c r="D29" s="6" t="n">
        <v>-1</v>
      </c>
      <c r="E29" s="6" t="n">
        <v>3</v>
      </c>
      <c r="F29" s="15" t="n"/>
      <c r="G29" s="16" t="n">
        <v>1606.25</v>
      </c>
      <c r="H29" s="16" t="n">
        <v>122.3</v>
      </c>
      <c r="I29" s="6" t="n">
        <v>31813</v>
      </c>
      <c r="J29" s="6" t="n">
        <v>131</v>
      </c>
      <c r="K29" s="6" t="n">
        <v>204077</v>
      </c>
      <c r="L29" s="16" t="n">
        <v>27.4</v>
      </c>
      <c r="M29" s="16" t="n">
        <v>1.65</v>
      </c>
      <c r="N29" s="16" t="n">
        <v>-1.05</v>
      </c>
    </row>
    <row r="30" ht="13" customHeight="1">
      <c r="A30" s="17" t="inlineStr">
        <is>
          <t>Jul 10 2026</t>
        </is>
      </c>
      <c r="B30" s="4" t="n">
        <v>22650</v>
      </c>
      <c r="C30" s="4" t="n">
        <v>33</v>
      </c>
      <c r="D30" s="4" t="n">
        <v>0</v>
      </c>
      <c r="E30" s="4" t="n">
        <v>0</v>
      </c>
      <c r="F30" s="18" t="n">
        <v>51.33</v>
      </c>
      <c r="G30" s="18" t="n">
        <v>1428.85</v>
      </c>
      <c r="H30" s="17" t="n"/>
      <c r="I30" s="4" t="n">
        <v>7232</v>
      </c>
      <c r="J30" s="4" t="n">
        <v>966</v>
      </c>
      <c r="K30" s="4" t="n">
        <v>75440</v>
      </c>
      <c r="L30" s="18" t="n">
        <v>27</v>
      </c>
      <c r="M30" s="18" t="n">
        <v>1.85</v>
      </c>
      <c r="N30" s="18" t="n">
        <v>-1</v>
      </c>
    </row>
    <row r="31" ht="13" customHeight="1">
      <c r="A31" s="15" t="inlineStr">
        <is>
          <t>Jul 10 2026</t>
        </is>
      </c>
      <c r="B31" s="6" t="n">
        <v>22700</v>
      </c>
      <c r="C31" s="6" t="n">
        <v>36</v>
      </c>
      <c r="D31" s="6" t="n">
        <v>7</v>
      </c>
      <c r="E31" s="6" t="n">
        <v>18</v>
      </c>
      <c r="F31" s="15" t="n"/>
      <c r="G31" s="16" t="n">
        <v>1509.95</v>
      </c>
      <c r="H31" s="16" t="n">
        <v>278.45</v>
      </c>
      <c r="I31" s="6" t="n">
        <v>46616</v>
      </c>
      <c r="J31" s="6" t="n">
        <v>19090</v>
      </c>
      <c r="K31" s="6" t="n">
        <v>267087</v>
      </c>
      <c r="L31" s="16" t="n">
        <v>26.04</v>
      </c>
      <c r="M31" s="16" t="n">
        <v>1.75</v>
      </c>
      <c r="N31" s="16" t="n">
        <v>-1.2</v>
      </c>
    </row>
    <row r="32" ht="13" customHeight="1">
      <c r="A32" s="17" t="inlineStr">
        <is>
          <t>Jul 10 2026</t>
        </is>
      </c>
      <c r="B32" s="4" t="n">
        <v>22750</v>
      </c>
      <c r="C32" s="4" t="n">
        <v>45</v>
      </c>
      <c r="D32" s="4" t="n">
        <v>0</v>
      </c>
      <c r="E32" s="4" t="n">
        <v>1</v>
      </c>
      <c r="F32" s="17" t="n"/>
      <c r="G32" s="18" t="n">
        <v>1424.35</v>
      </c>
      <c r="H32" s="18" t="n">
        <v>196.2</v>
      </c>
      <c r="I32" s="4" t="n">
        <v>10081</v>
      </c>
      <c r="J32" s="4" t="n">
        <v>1264</v>
      </c>
      <c r="K32" s="4" t="n">
        <v>75937</v>
      </c>
      <c r="L32" s="18" t="n">
        <v>25.44</v>
      </c>
      <c r="M32" s="18" t="n">
        <v>1.85</v>
      </c>
      <c r="N32" s="18" t="n">
        <v>-1.3</v>
      </c>
    </row>
    <row r="33" ht="13" customHeight="1">
      <c r="A33" s="15" t="inlineStr">
        <is>
          <t>Jul 10 2026</t>
        </is>
      </c>
      <c r="B33" s="6" t="n">
        <v>22800</v>
      </c>
      <c r="C33" s="6" t="n">
        <v>96</v>
      </c>
      <c r="D33" s="6" t="n">
        <v>9</v>
      </c>
      <c r="E33" s="6" t="n">
        <v>9</v>
      </c>
      <c r="F33" s="15" t="n"/>
      <c r="G33" s="16" t="n">
        <v>1407</v>
      </c>
      <c r="H33" s="16" t="n">
        <v>162</v>
      </c>
      <c r="I33" s="6" t="n">
        <v>59723</v>
      </c>
      <c r="J33" s="6" t="n">
        <v>19176</v>
      </c>
      <c r="K33" s="6" t="n">
        <v>448162</v>
      </c>
      <c r="L33" s="16" t="n">
        <v>25.06</v>
      </c>
      <c r="M33" s="16" t="n">
        <v>2.1</v>
      </c>
      <c r="N33" s="16" t="n">
        <v>-1.35</v>
      </c>
    </row>
    <row r="34" ht="13" customHeight="1">
      <c r="A34" s="17" t="inlineStr">
        <is>
          <t>Jul 10 2026</t>
        </is>
      </c>
      <c r="B34" s="4" t="n">
        <v>22850</v>
      </c>
      <c r="C34" s="4" t="n">
        <v>67</v>
      </c>
      <c r="D34" s="4" t="n">
        <v>-8</v>
      </c>
      <c r="E34" s="4" t="n">
        <v>25</v>
      </c>
      <c r="F34" s="17" t="n"/>
      <c r="G34" s="18" t="n">
        <v>1338.15</v>
      </c>
      <c r="H34" s="18" t="n">
        <v>232.25</v>
      </c>
      <c r="I34" s="4" t="n">
        <v>9153</v>
      </c>
      <c r="J34" s="4" t="n">
        <v>2488</v>
      </c>
      <c r="K34" s="4" t="n">
        <v>85113</v>
      </c>
      <c r="L34" s="18" t="n">
        <v>24.49</v>
      </c>
      <c r="M34" s="18" t="n">
        <v>2.25</v>
      </c>
      <c r="N34" s="18" t="n">
        <v>-1.65</v>
      </c>
    </row>
    <row r="35" ht="13" customHeight="1">
      <c r="A35" s="15" t="inlineStr">
        <is>
          <t>Jul 10 2026</t>
        </is>
      </c>
      <c r="B35" s="6" t="n">
        <v>22900</v>
      </c>
      <c r="C35" s="6" t="n">
        <v>24</v>
      </c>
      <c r="D35" s="6" t="n">
        <v>1</v>
      </c>
      <c r="E35" s="6" t="n">
        <v>10</v>
      </c>
      <c r="F35" s="15" t="n"/>
      <c r="G35" s="16" t="n">
        <v>1305.4</v>
      </c>
      <c r="H35" s="16" t="n">
        <v>239.2</v>
      </c>
      <c r="I35" s="6" t="n">
        <v>34578</v>
      </c>
      <c r="J35" s="6" t="n">
        <v>11301</v>
      </c>
      <c r="K35" s="6" t="n">
        <v>324879</v>
      </c>
      <c r="L35" s="16" t="n">
        <v>23.69</v>
      </c>
      <c r="M35" s="16" t="n">
        <v>2.25</v>
      </c>
      <c r="N35" s="16" t="n">
        <v>-1.9</v>
      </c>
    </row>
    <row r="36" ht="13" customHeight="1">
      <c r="A36" s="17" t="inlineStr">
        <is>
          <t>Jul 10 2026</t>
        </is>
      </c>
      <c r="B36" s="4" t="n">
        <v>22950</v>
      </c>
      <c r="C36" s="4" t="n">
        <v>91</v>
      </c>
      <c r="D36" s="4" t="n">
        <v>-9</v>
      </c>
      <c r="E36" s="4" t="n">
        <v>12</v>
      </c>
      <c r="F36" s="17" t="n"/>
      <c r="G36" s="18" t="n">
        <v>1252.55</v>
      </c>
      <c r="H36" s="18" t="n">
        <v>245</v>
      </c>
      <c r="I36" s="4" t="n">
        <v>9859</v>
      </c>
      <c r="J36" s="4" t="n">
        <v>348</v>
      </c>
      <c r="K36" s="4" t="n">
        <v>111977</v>
      </c>
      <c r="L36" s="18" t="n">
        <v>22.96</v>
      </c>
      <c r="M36" s="18" t="n">
        <v>2.3</v>
      </c>
      <c r="N36" s="18" t="n">
        <v>-2.25</v>
      </c>
    </row>
    <row r="37" ht="13" customHeight="1">
      <c r="A37" s="15" t="inlineStr">
        <is>
          <t>Jul 10 2026</t>
        </is>
      </c>
      <c r="B37" s="6" t="n">
        <v>23000</v>
      </c>
      <c r="C37" s="6" t="n">
        <v>1495</v>
      </c>
      <c r="D37" s="6" t="n">
        <v>-54</v>
      </c>
      <c r="E37" s="6" t="n">
        <v>655</v>
      </c>
      <c r="F37" s="15" t="n"/>
      <c r="G37" s="16" t="n">
        <v>1215.85</v>
      </c>
      <c r="H37" s="16" t="n">
        <v>251.35</v>
      </c>
      <c r="I37" s="6" t="n">
        <v>188373</v>
      </c>
      <c r="J37" s="6" t="n">
        <v>61076</v>
      </c>
      <c r="K37" s="6" t="n">
        <v>1006753</v>
      </c>
      <c r="L37" s="16" t="n">
        <v>22.34</v>
      </c>
      <c r="M37" s="16" t="n">
        <v>2.45</v>
      </c>
      <c r="N37" s="16" t="n">
        <v>-2.65</v>
      </c>
    </row>
    <row r="38" ht="13" customHeight="1">
      <c r="A38" s="17" t="inlineStr">
        <is>
          <t>Jul 10 2026</t>
        </is>
      </c>
      <c r="B38" s="4" t="n">
        <v>23050</v>
      </c>
      <c r="C38" s="4" t="n">
        <v>54</v>
      </c>
      <c r="D38" s="4" t="n">
        <v>-1</v>
      </c>
      <c r="E38" s="4" t="n">
        <v>8</v>
      </c>
      <c r="F38" s="17" t="n"/>
      <c r="G38" s="18" t="n">
        <v>1140.25</v>
      </c>
      <c r="H38" s="18" t="n">
        <v>255.6</v>
      </c>
      <c r="I38" s="4" t="n">
        <v>12463</v>
      </c>
      <c r="J38" s="4" t="n">
        <v>-1268</v>
      </c>
      <c r="K38" s="4" t="n">
        <v>138654</v>
      </c>
      <c r="L38" s="18" t="n">
        <v>21.59</v>
      </c>
      <c r="M38" s="18" t="n">
        <v>2.5</v>
      </c>
      <c r="N38" s="18" t="n">
        <v>-3.1</v>
      </c>
    </row>
    <row r="39" ht="13" customHeight="1">
      <c r="A39" s="15" t="inlineStr">
        <is>
          <t>Jul 10 2026</t>
        </is>
      </c>
      <c r="B39" s="6" t="n">
        <v>23100</v>
      </c>
      <c r="C39" s="6" t="n">
        <v>130</v>
      </c>
      <c r="D39" s="6" t="n">
        <v>30</v>
      </c>
      <c r="E39" s="6" t="n">
        <v>172</v>
      </c>
      <c r="F39" s="15" t="n"/>
      <c r="G39" s="16" t="n">
        <v>1116.6</v>
      </c>
      <c r="H39" s="16" t="n">
        <v>258.9</v>
      </c>
      <c r="I39" s="6" t="n">
        <v>42054</v>
      </c>
      <c r="J39" s="6" t="n">
        <v>11449</v>
      </c>
      <c r="K39" s="6" t="n">
        <v>425825</v>
      </c>
      <c r="L39" s="16" t="n">
        <v>21.01</v>
      </c>
      <c r="M39" s="16" t="n">
        <v>2.7</v>
      </c>
      <c r="N39" s="16" t="n">
        <v>-3.35</v>
      </c>
    </row>
    <row r="40" ht="13" customHeight="1">
      <c r="A40" s="17" t="inlineStr">
        <is>
          <t>Jul 10 2026</t>
        </is>
      </c>
      <c r="B40" s="4" t="n">
        <v>23150</v>
      </c>
      <c r="C40" s="4" t="n">
        <v>47</v>
      </c>
      <c r="D40" s="4" t="n">
        <v>24</v>
      </c>
      <c r="E40" s="4" t="n">
        <v>29</v>
      </c>
      <c r="F40" s="17" t="n"/>
      <c r="G40" s="18" t="n">
        <v>1030.65</v>
      </c>
      <c r="H40" s="18" t="n">
        <v>236</v>
      </c>
      <c r="I40" s="4" t="n">
        <v>13673</v>
      </c>
      <c r="J40" s="4" t="n">
        <v>1002</v>
      </c>
      <c r="K40" s="4" t="n">
        <v>203593</v>
      </c>
      <c r="L40" s="18" t="n">
        <v>20.39</v>
      </c>
      <c r="M40" s="18" t="n">
        <v>2.9</v>
      </c>
      <c r="N40" s="18" t="n">
        <v>-3.9</v>
      </c>
    </row>
    <row r="41" ht="13" customHeight="1">
      <c r="A41" s="15" t="inlineStr">
        <is>
          <t>Jul 10 2026</t>
        </is>
      </c>
      <c r="B41" s="6" t="n">
        <v>23200</v>
      </c>
      <c r="C41" s="6" t="n">
        <v>588</v>
      </c>
      <c r="D41" s="6" t="n">
        <v>-120</v>
      </c>
      <c r="E41" s="6" t="n">
        <v>613</v>
      </c>
      <c r="F41" s="15" t="n"/>
      <c r="G41" s="16" t="n">
        <v>1017.8</v>
      </c>
      <c r="H41" s="16" t="n">
        <v>221.75</v>
      </c>
      <c r="I41" s="6" t="n">
        <v>85217</v>
      </c>
      <c r="J41" s="6" t="n">
        <v>47715</v>
      </c>
      <c r="K41" s="6" t="n">
        <v>591520</v>
      </c>
      <c r="L41" s="16" t="n">
        <v>19.7</v>
      </c>
      <c r="M41" s="16" t="n">
        <v>3.05</v>
      </c>
      <c r="N41" s="16" t="n">
        <v>-4.7</v>
      </c>
    </row>
    <row r="42" ht="13" customHeight="1">
      <c r="A42" s="17" t="inlineStr">
        <is>
          <t>Jul 10 2026</t>
        </is>
      </c>
      <c r="B42" s="4" t="n">
        <v>23250</v>
      </c>
      <c r="C42" s="4" t="n">
        <v>273</v>
      </c>
      <c r="D42" s="4" t="n">
        <v>30</v>
      </c>
      <c r="E42" s="4" t="n">
        <v>93</v>
      </c>
      <c r="F42" s="17" t="n"/>
      <c r="G42" s="18" t="n">
        <v>967.3</v>
      </c>
      <c r="H42" s="18" t="n">
        <v>234.05</v>
      </c>
      <c r="I42" s="4" t="n">
        <v>23318</v>
      </c>
      <c r="J42" s="4" t="n">
        <v>-5888</v>
      </c>
      <c r="K42" s="4" t="n">
        <v>280580</v>
      </c>
      <c r="L42" s="18" t="n">
        <v>19</v>
      </c>
      <c r="M42" s="18" t="n">
        <v>3.2</v>
      </c>
      <c r="N42" s="18" t="n">
        <v>-5.85</v>
      </c>
    </row>
    <row r="43" ht="13" customHeight="1">
      <c r="A43" s="15" t="inlineStr">
        <is>
          <t>Jul 10 2026</t>
        </is>
      </c>
      <c r="B43" s="6" t="n">
        <v>23300</v>
      </c>
      <c r="C43" s="6" t="n">
        <v>1815</v>
      </c>
      <c r="D43" s="6" t="n">
        <v>-1</v>
      </c>
      <c r="E43" s="6" t="n">
        <v>132</v>
      </c>
      <c r="F43" s="15" t="n"/>
      <c r="G43" s="16" t="n">
        <v>917.55</v>
      </c>
      <c r="H43" s="16" t="n">
        <v>251.45</v>
      </c>
      <c r="I43" s="6" t="n">
        <v>84712</v>
      </c>
      <c r="J43" s="6" t="n">
        <v>38659</v>
      </c>
      <c r="K43" s="6" t="n">
        <v>556909</v>
      </c>
      <c r="L43" s="16" t="n">
        <v>18.45</v>
      </c>
      <c r="M43" s="16" t="n">
        <v>3.55</v>
      </c>
      <c r="N43" s="16" t="n">
        <v>-6.7</v>
      </c>
    </row>
    <row r="44" ht="13" customHeight="1">
      <c r="A44" s="17" t="inlineStr">
        <is>
          <t>Jul 10 2026</t>
        </is>
      </c>
      <c r="B44" s="4" t="n">
        <v>23350</v>
      </c>
      <c r="C44" s="4" t="n">
        <v>79</v>
      </c>
      <c r="D44" s="4" t="n">
        <v>-4</v>
      </c>
      <c r="E44" s="4" t="n">
        <v>116</v>
      </c>
      <c r="F44" s="17" t="n"/>
      <c r="G44" s="18" t="n">
        <v>868.05</v>
      </c>
      <c r="H44" s="18" t="n">
        <v>235.35</v>
      </c>
      <c r="I44" s="4" t="n">
        <v>18605</v>
      </c>
      <c r="J44" s="4" t="n">
        <v>-883</v>
      </c>
      <c r="K44" s="4" t="n">
        <v>281821</v>
      </c>
      <c r="L44" s="18" t="n">
        <v>17.85</v>
      </c>
      <c r="M44" s="18" t="n">
        <v>3.9</v>
      </c>
      <c r="N44" s="18" t="n">
        <v>-8.300000000000001</v>
      </c>
    </row>
    <row r="45" ht="13" customHeight="1">
      <c r="A45" s="15" t="inlineStr">
        <is>
          <t>Jul 10 2026</t>
        </is>
      </c>
      <c r="B45" s="6" t="n">
        <v>23400</v>
      </c>
      <c r="C45" s="6" t="n">
        <v>675</v>
      </c>
      <c r="D45" s="6" t="n">
        <v>18</v>
      </c>
      <c r="E45" s="6" t="n">
        <v>475</v>
      </c>
      <c r="F45" s="15" t="n"/>
      <c r="G45" s="16" t="n">
        <v>818.55</v>
      </c>
      <c r="H45" s="16" t="n">
        <v>248.4</v>
      </c>
      <c r="I45" s="6" t="n">
        <v>58686</v>
      </c>
      <c r="J45" s="6" t="n">
        <v>-3279</v>
      </c>
      <c r="K45" s="6" t="n">
        <v>582934</v>
      </c>
      <c r="L45" s="16" t="n">
        <v>17.18</v>
      </c>
      <c r="M45" s="16" t="n">
        <v>4.2</v>
      </c>
      <c r="N45" s="16" t="n">
        <v>-10.25</v>
      </c>
    </row>
    <row r="46" ht="13" customHeight="1">
      <c r="A46" s="17" t="inlineStr">
        <is>
          <t>Jul 10 2026</t>
        </is>
      </c>
      <c r="B46" s="4" t="n">
        <v>23450</v>
      </c>
      <c r="C46" s="4" t="n">
        <v>177</v>
      </c>
      <c r="D46" s="4" t="n">
        <v>21</v>
      </c>
      <c r="E46" s="4" t="n">
        <v>229</v>
      </c>
      <c r="F46" s="17" t="n"/>
      <c r="G46" s="18" t="n">
        <v>769.05</v>
      </c>
      <c r="H46" s="18" t="n">
        <v>245.65</v>
      </c>
      <c r="I46" s="4" t="n">
        <v>22712</v>
      </c>
      <c r="J46" s="4" t="n">
        <v>2928</v>
      </c>
      <c r="K46" s="4" t="n">
        <v>373000</v>
      </c>
      <c r="L46" s="18" t="n">
        <v>16.55</v>
      </c>
      <c r="M46" s="18" t="n">
        <v>4.6</v>
      </c>
      <c r="N46" s="18" t="n">
        <v>-12.65</v>
      </c>
    </row>
    <row r="47" ht="13" customHeight="1">
      <c r="A47" s="15" t="inlineStr">
        <is>
          <t>Jul 10 2026</t>
        </is>
      </c>
      <c r="B47" s="6" t="n">
        <v>23500</v>
      </c>
      <c r="C47" s="6" t="n">
        <v>3960</v>
      </c>
      <c r="D47" s="6" t="n">
        <v>-371</v>
      </c>
      <c r="E47" s="6" t="n">
        <v>6685</v>
      </c>
      <c r="F47" s="15" t="n"/>
      <c r="G47" s="16" t="n">
        <v>723.6</v>
      </c>
      <c r="H47" s="16" t="n">
        <v>239.15</v>
      </c>
      <c r="I47" s="6" t="n">
        <v>153169</v>
      </c>
      <c r="J47" s="6" t="n">
        <v>26855</v>
      </c>
      <c r="K47" s="6" t="n">
        <v>1012131</v>
      </c>
      <c r="L47" s="16" t="n">
        <v>16.02</v>
      </c>
      <c r="M47" s="16" t="n">
        <v>5.25</v>
      </c>
      <c r="N47" s="16" t="n">
        <v>-15.85</v>
      </c>
    </row>
    <row r="48" ht="13" customHeight="1">
      <c r="A48" s="17" t="inlineStr">
        <is>
          <t>Jul 10 2026</t>
        </is>
      </c>
      <c r="B48" s="4" t="n">
        <v>23550</v>
      </c>
      <c r="C48" s="4" t="n">
        <v>316</v>
      </c>
      <c r="D48" s="4" t="n">
        <v>-103</v>
      </c>
      <c r="E48" s="4" t="n">
        <v>678</v>
      </c>
      <c r="F48" s="17" t="n"/>
      <c r="G48" s="18" t="n">
        <v>670.4</v>
      </c>
      <c r="H48" s="18" t="n">
        <v>235.85</v>
      </c>
      <c r="I48" s="4" t="n">
        <v>32154</v>
      </c>
      <c r="J48" s="4" t="n">
        <v>-1553</v>
      </c>
      <c r="K48" s="4" t="n">
        <v>377570</v>
      </c>
      <c r="L48" s="18" t="n">
        <v>15.42</v>
      </c>
      <c r="M48" s="18" t="n">
        <v>5.9</v>
      </c>
      <c r="N48" s="18" t="n">
        <v>-19.45</v>
      </c>
    </row>
    <row r="49" ht="13" customHeight="1">
      <c r="A49" s="15" t="inlineStr">
        <is>
          <t>Jul 10 2026</t>
        </is>
      </c>
      <c r="B49" s="6" t="n">
        <v>23600</v>
      </c>
      <c r="C49" s="6" t="n">
        <v>1683</v>
      </c>
      <c r="D49" s="6" t="n">
        <v>-333</v>
      </c>
      <c r="E49" s="6" t="n">
        <v>3434</v>
      </c>
      <c r="F49" s="15" t="n"/>
      <c r="G49" s="16" t="n">
        <v>621.8</v>
      </c>
      <c r="H49" s="16" t="n">
        <v>230.35</v>
      </c>
      <c r="I49" s="6" t="n">
        <v>105077</v>
      </c>
      <c r="J49" s="6" t="n">
        <v>-25629</v>
      </c>
      <c r="K49" s="6" t="n">
        <v>833726</v>
      </c>
      <c r="L49" s="16" t="n">
        <v>14.86</v>
      </c>
      <c r="M49" s="16" t="n">
        <v>6.75</v>
      </c>
      <c r="N49" s="16" t="n">
        <v>-24.2</v>
      </c>
    </row>
    <row r="50" ht="13" customHeight="1">
      <c r="A50" s="17" t="inlineStr">
        <is>
          <t>Jul 10 2026</t>
        </is>
      </c>
      <c r="B50" s="4" t="n">
        <v>23650</v>
      </c>
      <c r="C50" s="4" t="n">
        <v>552</v>
      </c>
      <c r="D50" s="4" t="n">
        <v>-214</v>
      </c>
      <c r="E50" s="4" t="n">
        <v>1939</v>
      </c>
      <c r="F50" s="17" t="n"/>
      <c r="G50" s="18" t="n">
        <v>573.25</v>
      </c>
      <c r="H50" s="18" t="n">
        <v>220.6</v>
      </c>
      <c r="I50" s="4" t="n">
        <v>38084</v>
      </c>
      <c r="J50" s="4" t="n">
        <v>12436</v>
      </c>
      <c r="K50" s="4" t="n">
        <v>411147</v>
      </c>
      <c r="L50" s="18" t="n">
        <v>14.34</v>
      </c>
      <c r="M50" s="18" t="n">
        <v>7.9</v>
      </c>
      <c r="N50" s="18" t="n">
        <v>-30.8</v>
      </c>
    </row>
    <row r="51" ht="13" customHeight="1">
      <c r="A51" s="15" t="inlineStr">
        <is>
          <t>Jul 10 2026</t>
        </is>
      </c>
      <c r="B51" s="6" t="n">
        <v>23700</v>
      </c>
      <c r="C51" s="6" t="n">
        <v>4041</v>
      </c>
      <c r="D51" s="6" t="n">
        <v>-608</v>
      </c>
      <c r="E51" s="6" t="n">
        <v>12482</v>
      </c>
      <c r="F51" s="15" t="n"/>
      <c r="G51" s="16" t="n">
        <v>522.75</v>
      </c>
      <c r="H51" s="16" t="n">
        <v>210.5</v>
      </c>
      <c r="I51" s="6" t="n">
        <v>109100</v>
      </c>
      <c r="J51" s="6" t="n">
        <v>33298</v>
      </c>
      <c r="K51" s="6" t="n">
        <v>821102</v>
      </c>
      <c r="L51" s="16" t="n">
        <v>13.77</v>
      </c>
      <c r="M51" s="16" t="n">
        <v>9.15</v>
      </c>
      <c r="N51" s="16" t="n">
        <v>-38.85</v>
      </c>
    </row>
    <row r="52" ht="13" customHeight="1">
      <c r="A52" s="17" t="inlineStr">
        <is>
          <t>Jul 10 2026</t>
        </is>
      </c>
      <c r="B52" s="4" t="n">
        <v>23750</v>
      </c>
      <c r="C52" s="4" t="n">
        <v>781</v>
      </c>
      <c r="D52" s="4" t="n">
        <v>-528</v>
      </c>
      <c r="E52" s="4" t="n">
        <v>7028</v>
      </c>
      <c r="F52" s="17" t="n"/>
      <c r="G52" s="18" t="n">
        <v>476.3</v>
      </c>
      <c r="H52" s="18" t="n">
        <v>202.7</v>
      </c>
      <c r="I52" s="4" t="n">
        <v>54142</v>
      </c>
      <c r="J52" s="4" t="n">
        <v>27098</v>
      </c>
      <c r="K52" s="4" t="n">
        <v>553079</v>
      </c>
      <c r="L52" s="18" t="n">
        <v>13.31</v>
      </c>
      <c r="M52" s="18" t="n">
        <v>11.05</v>
      </c>
      <c r="N52" s="18" t="n">
        <v>-48.65</v>
      </c>
    </row>
    <row r="53" ht="13" customHeight="1">
      <c r="A53" s="15" t="inlineStr">
        <is>
          <t>Jul 10 2026</t>
        </is>
      </c>
      <c r="B53" s="6" t="n">
        <v>23800</v>
      </c>
      <c r="C53" s="6" t="n">
        <v>8764</v>
      </c>
      <c r="D53" s="6" t="n">
        <v>-5896</v>
      </c>
      <c r="E53" s="6" t="n">
        <v>61758</v>
      </c>
      <c r="F53" s="15" t="n"/>
      <c r="G53" s="16" t="n">
        <v>429.25</v>
      </c>
      <c r="H53" s="16" t="n">
        <v>193.45</v>
      </c>
      <c r="I53" s="6" t="n">
        <v>135685</v>
      </c>
      <c r="J53" s="6" t="n">
        <v>35681</v>
      </c>
      <c r="K53" s="6" t="n">
        <v>1528900</v>
      </c>
      <c r="L53" s="16" t="n">
        <v>12.88</v>
      </c>
      <c r="M53" s="16" t="n">
        <v>13.55</v>
      </c>
      <c r="N53" s="16" t="n">
        <v>-60.25</v>
      </c>
    </row>
    <row r="54" ht="13" customHeight="1">
      <c r="A54" s="17" t="inlineStr">
        <is>
          <t>Jul 10 2026</t>
        </is>
      </c>
      <c r="B54" s="4" t="n">
        <v>23850</v>
      </c>
      <c r="C54" s="4" t="n">
        <v>4861</v>
      </c>
      <c r="D54" s="4" t="n">
        <v>-3489</v>
      </c>
      <c r="E54" s="4" t="n">
        <v>25665</v>
      </c>
      <c r="F54" s="17" t="n"/>
      <c r="G54" s="18" t="n">
        <v>381.5</v>
      </c>
      <c r="H54" s="18" t="n">
        <v>179.45</v>
      </c>
      <c r="I54" s="4" t="n">
        <v>50694</v>
      </c>
      <c r="J54" s="4" t="n">
        <v>18612</v>
      </c>
      <c r="K54" s="4" t="n">
        <v>754811</v>
      </c>
      <c r="L54" s="18" t="n">
        <v>12.37</v>
      </c>
      <c r="M54" s="18" t="n">
        <v>16.35</v>
      </c>
      <c r="N54" s="18" t="n">
        <v>-73.90000000000001</v>
      </c>
    </row>
    <row r="55" ht="13" customHeight="1">
      <c r="A55" s="15" t="inlineStr">
        <is>
          <t>Jul 10 2026</t>
        </is>
      </c>
      <c r="B55" s="6" t="n">
        <v>23900</v>
      </c>
      <c r="C55" s="6" t="n">
        <v>13729</v>
      </c>
      <c r="D55" s="6" t="n">
        <v>-15366</v>
      </c>
      <c r="E55" s="6" t="n">
        <v>161569</v>
      </c>
      <c r="F55" s="16" t="n">
        <v>7.49</v>
      </c>
      <c r="G55" s="16" t="n">
        <v>336</v>
      </c>
      <c r="H55" s="16" t="n">
        <v>166</v>
      </c>
      <c r="I55" s="6" t="n">
        <v>100653</v>
      </c>
      <c r="J55" s="6" t="n">
        <v>31612</v>
      </c>
      <c r="K55" s="6" t="n">
        <v>1495038</v>
      </c>
      <c r="L55" s="16" t="n">
        <v>11.87</v>
      </c>
      <c r="M55" s="16" t="n">
        <v>19.9</v>
      </c>
      <c r="N55" s="16" t="n">
        <v>-89.34999999999999</v>
      </c>
    </row>
    <row r="56" ht="13" customHeight="1">
      <c r="A56" s="17" t="inlineStr">
        <is>
          <t>Jul 10 2026</t>
        </is>
      </c>
      <c r="B56" s="4" t="n">
        <v>23950</v>
      </c>
      <c r="C56" s="4" t="n">
        <v>5460</v>
      </c>
      <c r="D56" s="4" t="n">
        <v>-15954</v>
      </c>
      <c r="E56" s="4" t="n">
        <v>131530</v>
      </c>
      <c r="F56" s="18" t="n">
        <v>8.630000000000001</v>
      </c>
      <c r="G56" s="18" t="n">
        <v>293</v>
      </c>
      <c r="H56" s="18" t="n">
        <v>150.35</v>
      </c>
      <c r="I56" s="4" t="n">
        <v>57665</v>
      </c>
      <c r="J56" s="4" t="n">
        <v>23893</v>
      </c>
      <c r="K56" s="4" t="n">
        <v>1128815</v>
      </c>
      <c r="L56" s="18" t="n">
        <v>11.48</v>
      </c>
      <c r="M56" s="18" t="n">
        <v>25.1</v>
      </c>
      <c r="N56" s="18" t="n">
        <v>-106.45</v>
      </c>
    </row>
    <row r="57" ht="13" customHeight="1">
      <c r="A57" s="15" t="inlineStr">
        <is>
          <t>Jul 10 2026</t>
        </is>
      </c>
      <c r="B57" s="6" t="n">
        <v>24000</v>
      </c>
      <c r="C57" s="6" t="n">
        <v>50180</v>
      </c>
      <c r="D57" s="6" t="n">
        <v>-71080</v>
      </c>
      <c r="E57" s="6" t="n">
        <v>1038532</v>
      </c>
      <c r="F57" s="16" t="n">
        <v>8.16</v>
      </c>
      <c r="G57" s="16" t="n">
        <v>246.4</v>
      </c>
      <c r="H57" s="16" t="n">
        <v>126.3</v>
      </c>
      <c r="I57" s="6" t="n">
        <v>161957</v>
      </c>
      <c r="J57" s="6" t="n">
        <v>68949</v>
      </c>
      <c r="K57" s="6" t="n">
        <v>2872110</v>
      </c>
      <c r="L57" s="16" t="n">
        <v>11.12</v>
      </c>
      <c r="M57" s="16" t="n">
        <v>31.9</v>
      </c>
      <c r="N57" s="16" t="n">
        <v>-121.45</v>
      </c>
    </row>
    <row r="58" ht="13" customHeight="1">
      <c r="A58" s="17" t="inlineStr">
        <is>
          <t>Jul 10 2026</t>
        </is>
      </c>
      <c r="B58" s="4" t="n">
        <v>24050</v>
      </c>
      <c r="C58" s="4" t="n">
        <v>14334</v>
      </c>
      <c r="D58" s="4" t="n">
        <v>-30831</v>
      </c>
      <c r="E58" s="4" t="n">
        <v>638234</v>
      </c>
      <c r="F58" s="18" t="n">
        <v>8.59</v>
      </c>
      <c r="G58" s="18" t="n">
        <v>207.3</v>
      </c>
      <c r="H58" s="18" t="n">
        <v>108.5</v>
      </c>
      <c r="I58" s="4" t="n">
        <v>51761</v>
      </c>
      <c r="J58" s="4" t="n">
        <v>24961</v>
      </c>
      <c r="K58" s="4" t="n">
        <v>1590100</v>
      </c>
      <c r="L58" s="18" t="n">
        <v>10.81</v>
      </c>
      <c r="M58" s="18" t="n">
        <v>40.9</v>
      </c>
      <c r="N58" s="18" t="n">
        <v>-137.85</v>
      </c>
    </row>
    <row r="59" ht="13" customHeight="1">
      <c r="A59" s="15" t="inlineStr">
        <is>
          <t>Jul 10 2026</t>
        </is>
      </c>
      <c r="B59" s="6" t="n">
        <v>24100</v>
      </c>
      <c r="C59" s="6" t="n">
        <v>43051</v>
      </c>
      <c r="D59" s="6" t="n">
        <v>-44813</v>
      </c>
      <c r="E59" s="6" t="n">
        <v>2444672</v>
      </c>
      <c r="F59" s="16" t="n">
        <v>8.42</v>
      </c>
      <c r="G59" s="16" t="n">
        <v>167.7</v>
      </c>
      <c r="H59" s="16" t="n">
        <v>88.55</v>
      </c>
      <c r="I59" s="6" t="n">
        <v>122920</v>
      </c>
      <c r="J59" s="6" t="n">
        <v>81979</v>
      </c>
      <c r="K59" s="6" t="n">
        <v>3671401</v>
      </c>
      <c r="L59" s="16" t="n">
        <v>10.51</v>
      </c>
      <c r="M59" s="16" t="n">
        <v>52.4</v>
      </c>
      <c r="N59" s="16" t="n">
        <v>-158.8</v>
      </c>
    </row>
    <row r="60" ht="13" customHeight="1">
      <c r="A60" s="17" t="inlineStr">
        <is>
          <t>Jul 10 2026</t>
        </is>
      </c>
      <c r="B60" s="4" t="n">
        <v>24150</v>
      </c>
      <c r="C60" s="4" t="n">
        <v>68897</v>
      </c>
      <c r="D60" s="4" t="n">
        <v>33433</v>
      </c>
      <c r="E60" s="4" t="n">
        <v>3462333</v>
      </c>
      <c r="F60" s="18" t="n">
        <v>8.640000000000001</v>
      </c>
      <c r="G60" s="18" t="n">
        <v>135.15</v>
      </c>
      <c r="H60" s="18" t="n">
        <v>71.84999999999999</v>
      </c>
      <c r="I60" s="4" t="n">
        <v>121695</v>
      </c>
      <c r="J60" s="4" t="n">
        <v>110035</v>
      </c>
      <c r="K60" s="4" t="n">
        <v>4539113</v>
      </c>
      <c r="L60" s="18" t="n">
        <v>10.32</v>
      </c>
      <c r="M60" s="18" t="n">
        <v>67.75</v>
      </c>
      <c r="N60" s="18" t="n">
        <v>-173.8</v>
      </c>
    </row>
    <row r="61" ht="13" customHeight="1">
      <c r="A61" s="15" t="inlineStr">
        <is>
          <t>Jul 10 2026</t>
        </is>
      </c>
      <c r="B61" s="6" t="n">
        <v>24200</v>
      </c>
      <c r="C61" s="6" t="n">
        <v>144699</v>
      </c>
      <c r="D61" s="6" t="n">
        <v>6689</v>
      </c>
      <c r="E61" s="6" t="n">
        <v>7567286</v>
      </c>
      <c r="F61" s="16" t="n">
        <v>8.539999999999999</v>
      </c>
      <c r="G61" s="16" t="n">
        <v>104</v>
      </c>
      <c r="H61" s="16" t="n">
        <v>54.55</v>
      </c>
      <c r="I61" s="6" t="n">
        <v>158389</v>
      </c>
      <c r="J61" s="6" t="n">
        <v>115617</v>
      </c>
      <c r="K61" s="6" t="n">
        <v>6379639</v>
      </c>
      <c r="L61" s="16" t="n">
        <v>10.28</v>
      </c>
      <c r="M61" s="16" t="n">
        <v>88.05</v>
      </c>
      <c r="N61" s="16" t="n">
        <v>-194.2</v>
      </c>
    </row>
    <row r="62" ht="13" customHeight="1">
      <c r="A62" s="17" t="inlineStr">
        <is>
          <t>Jul 10 2026</t>
        </is>
      </c>
      <c r="B62" s="4" t="n">
        <v>24250</v>
      </c>
      <c r="C62" s="4" t="n">
        <v>86704</v>
      </c>
      <c r="D62" s="4" t="n">
        <v>25357</v>
      </c>
      <c r="E62" s="4" t="n">
        <v>3765898</v>
      </c>
      <c r="F62" s="18" t="n">
        <v>8.550000000000001</v>
      </c>
      <c r="G62" s="18" t="n">
        <v>78.40000000000001</v>
      </c>
      <c r="H62" s="18" t="n">
        <v>39.25</v>
      </c>
      <c r="I62" s="4" t="n">
        <v>53552</v>
      </c>
      <c r="J62" s="4" t="n">
        <v>36076</v>
      </c>
      <c r="K62" s="4" t="n">
        <v>1994014</v>
      </c>
      <c r="L62" s="18" t="n">
        <v>10.15</v>
      </c>
      <c r="M62" s="18" t="n">
        <v>111.15</v>
      </c>
      <c r="N62" s="18" t="n">
        <v>-208.3</v>
      </c>
    </row>
    <row r="63" ht="13" customHeight="1">
      <c r="A63" s="15" t="inlineStr">
        <is>
          <t>Jul 10 2026</t>
        </is>
      </c>
      <c r="B63" s="6" t="n">
        <v>24300</v>
      </c>
      <c r="C63" s="6" t="n">
        <v>144630</v>
      </c>
      <c r="D63" s="6" t="n">
        <v>11664</v>
      </c>
      <c r="E63" s="6" t="n">
        <v>3822136</v>
      </c>
      <c r="F63" s="16" t="n">
        <v>8.65</v>
      </c>
      <c r="G63" s="16" t="n">
        <v>58.3</v>
      </c>
      <c r="H63" s="16" t="n">
        <v>27.95</v>
      </c>
      <c r="I63" s="6" t="n">
        <v>37771</v>
      </c>
      <c r="J63" s="6" t="n">
        <v>8857</v>
      </c>
      <c r="K63" s="6" t="n">
        <v>1379254</v>
      </c>
      <c r="L63" s="16" t="n">
        <v>10.32</v>
      </c>
      <c r="M63" s="16" t="n">
        <v>141.1</v>
      </c>
      <c r="N63" s="16" t="n">
        <v>-221.75</v>
      </c>
    </row>
    <row r="64" ht="13" customHeight="1">
      <c r="A64" s="17" t="inlineStr">
        <is>
          <t>Jul 10 2026</t>
        </is>
      </c>
      <c r="B64" s="4" t="n">
        <v>24350</v>
      </c>
      <c r="C64" s="4" t="n">
        <v>46474</v>
      </c>
      <c r="D64" s="4" t="n">
        <v>-6901</v>
      </c>
      <c r="E64" s="4" t="n">
        <v>1844992</v>
      </c>
      <c r="F64" s="18" t="n">
        <v>8.65</v>
      </c>
      <c r="G64" s="18" t="n">
        <v>41.5</v>
      </c>
      <c r="H64" s="18" t="n">
        <v>17.55</v>
      </c>
      <c r="I64" s="4" t="n">
        <v>7175</v>
      </c>
      <c r="J64" s="4" t="n">
        <v>1789</v>
      </c>
      <c r="K64" s="4" t="n">
        <v>316744</v>
      </c>
      <c r="L64" s="18" t="n">
        <v>10.46</v>
      </c>
      <c r="M64" s="18" t="n">
        <v>174.2</v>
      </c>
      <c r="N64" s="18" t="n">
        <v>-226.4</v>
      </c>
    </row>
    <row r="65" ht="13" customHeight="1">
      <c r="A65" s="15" t="inlineStr">
        <is>
          <t>Jul 10 2026</t>
        </is>
      </c>
      <c r="B65" s="6" t="n">
        <v>24400</v>
      </c>
      <c r="C65" s="6" t="n">
        <v>99528</v>
      </c>
      <c r="D65" s="6" t="n">
        <v>-2203</v>
      </c>
      <c r="E65" s="6" t="n">
        <v>2437591</v>
      </c>
      <c r="F65" s="16" t="n">
        <v>8.74</v>
      </c>
      <c r="G65" s="16" t="n">
        <v>29.2</v>
      </c>
      <c r="H65" s="16" t="n">
        <v>10.85</v>
      </c>
      <c r="I65" s="6" t="n">
        <v>17977</v>
      </c>
      <c r="J65" s="6" t="n">
        <v>625</v>
      </c>
      <c r="K65" s="6" t="n">
        <v>335110</v>
      </c>
      <c r="L65" s="16" t="n">
        <v>11.04</v>
      </c>
      <c r="M65" s="16" t="n">
        <v>214.25</v>
      </c>
      <c r="N65" s="16" t="n">
        <v>-237.6</v>
      </c>
    </row>
    <row r="66" ht="13" customHeight="1">
      <c r="A66" s="17" t="inlineStr">
        <is>
          <t>Jul 10 2026</t>
        </is>
      </c>
      <c r="B66" s="4" t="n">
        <v>24450</v>
      </c>
      <c r="C66" s="4" t="n">
        <v>52447</v>
      </c>
      <c r="D66" s="4" t="n">
        <v>-1431</v>
      </c>
      <c r="E66" s="4" t="n">
        <v>1519355</v>
      </c>
      <c r="F66" s="18" t="n">
        <v>8.84</v>
      </c>
      <c r="G66" s="18" t="n">
        <v>20.15</v>
      </c>
      <c r="H66" s="18" t="n">
        <v>5.6</v>
      </c>
      <c r="I66" s="4" t="n">
        <v>4465</v>
      </c>
      <c r="J66" s="4" t="n">
        <v>-198</v>
      </c>
      <c r="K66" s="4" t="n">
        <v>51744</v>
      </c>
      <c r="L66" s="18" t="n">
        <v>11.22</v>
      </c>
      <c r="M66" s="18" t="n">
        <v>253.3</v>
      </c>
      <c r="N66" s="18" t="n">
        <v>-241.4</v>
      </c>
    </row>
    <row r="67" ht="13" customHeight="1">
      <c r="A67" s="15" t="inlineStr">
        <is>
          <t>Jul 10 2026</t>
        </is>
      </c>
      <c r="B67" s="6" t="n">
        <v>24500</v>
      </c>
      <c r="C67" s="6" t="n">
        <v>216461</v>
      </c>
      <c r="D67" s="6" t="n">
        <v>6715</v>
      </c>
      <c r="E67" s="6" t="n">
        <v>3050915</v>
      </c>
      <c r="F67" s="16" t="n">
        <v>8.960000000000001</v>
      </c>
      <c r="G67" s="16" t="n">
        <v>13.7</v>
      </c>
      <c r="H67" s="16" t="n">
        <v>2.45</v>
      </c>
      <c r="I67" s="6" t="n">
        <v>52707</v>
      </c>
      <c r="J67" s="6" t="n">
        <v>-1170</v>
      </c>
      <c r="K67" s="6" t="n">
        <v>155331</v>
      </c>
      <c r="L67" s="16" t="n">
        <v>11.72</v>
      </c>
      <c r="M67" s="16" t="n">
        <v>296.75</v>
      </c>
      <c r="N67" s="16" t="n">
        <v>-253.5</v>
      </c>
    </row>
    <row r="68" ht="13" customHeight="1">
      <c r="A68" s="17" t="inlineStr">
        <is>
          <t>Jul 10 2026</t>
        </is>
      </c>
      <c r="B68" s="4" t="n">
        <v>24550</v>
      </c>
      <c r="C68" s="4" t="n">
        <v>50082</v>
      </c>
      <c r="D68" s="4" t="n">
        <v>14741</v>
      </c>
      <c r="E68" s="4" t="n">
        <v>980441</v>
      </c>
      <c r="F68" s="18" t="n">
        <v>9.09</v>
      </c>
      <c r="G68" s="18" t="n">
        <v>9.199999999999999</v>
      </c>
      <c r="H68" s="18" t="n">
        <v>0.3</v>
      </c>
      <c r="I68" s="4" t="n">
        <v>1129</v>
      </c>
      <c r="J68" s="4" t="n">
        <v>-91</v>
      </c>
      <c r="K68" s="4" t="n">
        <v>10930</v>
      </c>
      <c r="L68" s="18" t="n">
        <v>12.37</v>
      </c>
      <c r="M68" s="18" t="n">
        <v>342.4</v>
      </c>
      <c r="N68" s="18" t="n">
        <v>-245.85</v>
      </c>
    </row>
    <row r="69" ht="13" customHeight="1">
      <c r="A69" s="15" t="inlineStr">
        <is>
          <t>Jul 10 2026</t>
        </is>
      </c>
      <c r="B69" s="6" t="n">
        <v>24600</v>
      </c>
      <c r="C69" s="6" t="n">
        <v>120077</v>
      </c>
      <c r="D69" s="6" t="n">
        <v>29718</v>
      </c>
      <c r="E69" s="6" t="n">
        <v>1387306</v>
      </c>
      <c r="F69" s="16" t="n">
        <v>9.34</v>
      </c>
      <c r="G69" s="16" t="n">
        <v>6.45</v>
      </c>
      <c r="H69" s="16" t="n">
        <v>-0.45</v>
      </c>
      <c r="I69" s="6" t="n">
        <v>6599</v>
      </c>
      <c r="J69" s="6" t="n">
        <v>-827</v>
      </c>
      <c r="K69" s="6" t="n">
        <v>21885</v>
      </c>
      <c r="L69" s="16" t="n">
        <v>13.18</v>
      </c>
      <c r="M69" s="16" t="n">
        <v>389.8</v>
      </c>
      <c r="N69" s="16" t="n">
        <v>-252.2</v>
      </c>
    </row>
    <row r="70" ht="13" customHeight="1">
      <c r="A70" s="17" t="inlineStr">
        <is>
          <t>Jul 10 2026</t>
        </is>
      </c>
      <c r="B70" s="4" t="n">
        <v>24650</v>
      </c>
      <c r="C70" s="4" t="n">
        <v>50569</v>
      </c>
      <c r="D70" s="4" t="n">
        <v>14435</v>
      </c>
      <c r="E70" s="4" t="n">
        <v>560796</v>
      </c>
      <c r="F70" s="18" t="n">
        <v>9.630000000000001</v>
      </c>
      <c r="G70" s="18" t="n">
        <v>4.6</v>
      </c>
      <c r="H70" s="18" t="n">
        <v>-1.05</v>
      </c>
      <c r="I70" s="4" t="n">
        <v>942</v>
      </c>
      <c r="J70" s="4" t="n">
        <v>-462</v>
      </c>
      <c r="K70" s="4" t="n">
        <v>3369</v>
      </c>
      <c r="L70" s="18" t="n">
        <v>13.89</v>
      </c>
      <c r="M70" s="18" t="n">
        <v>437.2</v>
      </c>
      <c r="N70" s="18" t="n">
        <v>-249.4</v>
      </c>
    </row>
    <row r="71" ht="13" customHeight="1">
      <c r="A71" s="15" t="inlineStr">
        <is>
          <t>Jul 10 2026</t>
        </is>
      </c>
      <c r="B71" s="6" t="n">
        <v>24700</v>
      </c>
      <c r="C71" s="6" t="n">
        <v>129877</v>
      </c>
      <c r="D71" s="6" t="n">
        <v>13240</v>
      </c>
      <c r="E71" s="6" t="n">
        <v>1035498</v>
      </c>
      <c r="F71" s="16" t="n">
        <v>9.970000000000001</v>
      </c>
      <c r="G71" s="16" t="n">
        <v>3.4</v>
      </c>
      <c r="H71" s="16" t="n">
        <v>-1.15</v>
      </c>
      <c r="I71" s="6" t="n">
        <v>2465</v>
      </c>
      <c r="J71" s="6" t="n">
        <v>-426</v>
      </c>
      <c r="K71" s="6" t="n">
        <v>7408</v>
      </c>
      <c r="L71" s="16" t="n">
        <v>15.15</v>
      </c>
      <c r="M71" s="16" t="n">
        <v>487.7</v>
      </c>
      <c r="N71" s="16" t="n">
        <v>-247.55</v>
      </c>
    </row>
    <row r="72" ht="13" customHeight="1">
      <c r="A72" s="17" t="inlineStr">
        <is>
          <t>Jul 10 2026</t>
        </is>
      </c>
      <c r="B72" s="4" t="n">
        <v>24750</v>
      </c>
      <c r="C72" s="4" t="n">
        <v>28490</v>
      </c>
      <c r="D72" s="4" t="n">
        <v>1596</v>
      </c>
      <c r="E72" s="4" t="n">
        <v>411819</v>
      </c>
      <c r="F72" s="18" t="n">
        <v>10.39</v>
      </c>
      <c r="G72" s="18" t="n">
        <v>2.65</v>
      </c>
      <c r="H72" s="18" t="n">
        <v>-1.3</v>
      </c>
      <c r="I72" s="4" t="n">
        <v>383</v>
      </c>
      <c r="J72" s="4" t="n">
        <v>-161</v>
      </c>
      <c r="K72" s="4" t="n">
        <v>1122</v>
      </c>
      <c r="L72" s="18" t="n">
        <v>16.09</v>
      </c>
      <c r="M72" s="18" t="n">
        <v>536.75</v>
      </c>
      <c r="N72" s="18" t="n">
        <v>-246.8</v>
      </c>
    </row>
    <row r="73" ht="13" customHeight="1">
      <c r="A73" s="15" t="inlineStr">
        <is>
          <t>Jul 10 2026</t>
        </is>
      </c>
      <c r="B73" s="6" t="n">
        <v>24800</v>
      </c>
      <c r="C73" s="6" t="n">
        <v>88640</v>
      </c>
      <c r="D73" s="6" t="n">
        <v>-92</v>
      </c>
      <c r="E73" s="6" t="n">
        <v>1151260</v>
      </c>
      <c r="F73" s="16" t="n">
        <v>10.93</v>
      </c>
      <c r="G73" s="16" t="n">
        <v>2.25</v>
      </c>
      <c r="H73" s="16" t="n">
        <v>-1</v>
      </c>
      <c r="I73" s="6" t="n">
        <v>1989</v>
      </c>
      <c r="J73" s="6" t="n">
        <v>-306</v>
      </c>
      <c r="K73" s="6" t="n">
        <v>2882</v>
      </c>
      <c r="L73" s="16" t="n">
        <v>17.04</v>
      </c>
      <c r="M73" s="16" t="n">
        <v>586</v>
      </c>
      <c r="N73" s="16" t="n">
        <v>-249.9</v>
      </c>
    </row>
    <row r="74" ht="13" customHeight="1">
      <c r="A74" s="17" t="inlineStr">
        <is>
          <t>Jul 10 2026</t>
        </is>
      </c>
      <c r="B74" s="4" t="n">
        <v>24850</v>
      </c>
      <c r="C74" s="4" t="n">
        <v>18944</v>
      </c>
      <c r="D74" s="4" t="n">
        <v>-2295</v>
      </c>
      <c r="E74" s="4" t="n">
        <v>568158</v>
      </c>
      <c r="F74" s="18" t="n">
        <v>11.52</v>
      </c>
      <c r="G74" s="18" t="n">
        <v>2</v>
      </c>
      <c r="H74" s="18" t="n">
        <v>-0.95</v>
      </c>
      <c r="I74" s="4" t="n">
        <v>432</v>
      </c>
      <c r="J74" s="4" t="n">
        <v>-69</v>
      </c>
      <c r="K74" s="4" t="n">
        <v>235</v>
      </c>
      <c r="L74" s="18" t="n">
        <v>18.14</v>
      </c>
      <c r="M74" s="18" t="n">
        <v>636.05</v>
      </c>
      <c r="N74" s="18" t="n">
        <v>-254</v>
      </c>
    </row>
    <row r="75" ht="13" customHeight="1">
      <c r="A75" s="15" t="inlineStr">
        <is>
          <t>Jul 10 2026</t>
        </is>
      </c>
      <c r="B75" s="6" t="n">
        <v>24900</v>
      </c>
      <c r="C75" s="6" t="n">
        <v>48676</v>
      </c>
      <c r="D75" s="6" t="n">
        <v>-683</v>
      </c>
      <c r="E75" s="6" t="n">
        <v>722950</v>
      </c>
      <c r="F75" s="16" t="n">
        <v>12.01</v>
      </c>
      <c r="G75" s="16" t="n">
        <v>1.7</v>
      </c>
      <c r="H75" s="16" t="n">
        <v>-0.95</v>
      </c>
      <c r="I75" s="6" t="n">
        <v>589</v>
      </c>
      <c r="J75" s="6" t="n">
        <v>-131</v>
      </c>
      <c r="K75" s="6" t="n">
        <v>474</v>
      </c>
      <c r="L75" s="16" t="n">
        <v>19.39</v>
      </c>
      <c r="M75" s="16" t="n">
        <v>686.8</v>
      </c>
      <c r="N75" s="16" t="n">
        <v>-242.15</v>
      </c>
    </row>
    <row r="76" ht="13" customHeight="1">
      <c r="A76" s="17" t="inlineStr">
        <is>
          <t>Jul 10 2026</t>
        </is>
      </c>
      <c r="B76" s="4" t="n">
        <v>24950</v>
      </c>
      <c r="C76" s="4" t="n">
        <v>18311</v>
      </c>
      <c r="D76" s="4" t="n">
        <v>-2578</v>
      </c>
      <c r="E76" s="4" t="n">
        <v>219100</v>
      </c>
      <c r="F76" s="18" t="n">
        <v>12.72</v>
      </c>
      <c r="G76" s="18" t="n">
        <v>1.65</v>
      </c>
      <c r="H76" s="18" t="n">
        <v>-0.75</v>
      </c>
      <c r="I76" s="4" t="n">
        <v>381</v>
      </c>
      <c r="J76" s="4" t="n">
        <v>-17</v>
      </c>
      <c r="K76" s="4" t="n">
        <v>120</v>
      </c>
      <c r="L76" s="18" t="n">
        <v>20.45</v>
      </c>
      <c r="M76" s="18" t="n">
        <v>736.75</v>
      </c>
      <c r="N76" s="18" t="n">
        <v>-244.85</v>
      </c>
    </row>
    <row r="77" ht="13" customHeight="1">
      <c r="A77" s="15" t="inlineStr">
        <is>
          <t>Jul 10 2026</t>
        </is>
      </c>
      <c r="B77" s="6" t="n">
        <v>25000</v>
      </c>
      <c r="C77" s="6" t="n">
        <v>120855</v>
      </c>
      <c r="D77" s="6" t="n">
        <v>-12151</v>
      </c>
      <c r="E77" s="6" t="n">
        <v>1010370</v>
      </c>
      <c r="F77" s="16" t="n">
        <v>13.35</v>
      </c>
      <c r="G77" s="16" t="n">
        <v>1.55</v>
      </c>
      <c r="H77" s="16" t="n">
        <v>-0.7</v>
      </c>
      <c r="I77" s="6" t="n">
        <v>6132</v>
      </c>
      <c r="J77" s="6" t="n">
        <v>299</v>
      </c>
      <c r="K77" s="6" t="n">
        <v>3762</v>
      </c>
      <c r="L77" s="16" t="n">
        <v>20.22</v>
      </c>
      <c r="M77" s="16" t="n">
        <v>782</v>
      </c>
      <c r="N77" s="16" t="n">
        <v>-255.1</v>
      </c>
    </row>
    <row r="78" ht="13" customHeight="1">
      <c r="A78" s="17" t="inlineStr">
        <is>
          <t>Jul 10 2026</t>
        </is>
      </c>
      <c r="B78" s="4" t="n">
        <v>25050</v>
      </c>
      <c r="C78" s="4" t="n">
        <v>19497</v>
      </c>
      <c r="D78" s="4" t="n">
        <v>-427</v>
      </c>
      <c r="E78" s="4" t="n">
        <v>147173</v>
      </c>
      <c r="F78" s="18" t="n">
        <v>13.9</v>
      </c>
      <c r="G78" s="18" t="n">
        <v>1.4</v>
      </c>
      <c r="H78" s="18" t="n">
        <v>-0.6</v>
      </c>
      <c r="I78" s="4" t="n">
        <v>280</v>
      </c>
      <c r="J78" s="4" t="n">
        <v>-30</v>
      </c>
      <c r="K78" s="4" t="n">
        <v>61</v>
      </c>
      <c r="L78" s="18" t="n">
        <v>22.17</v>
      </c>
      <c r="M78" s="18" t="n">
        <v>835.35</v>
      </c>
      <c r="N78" s="18" t="n">
        <v>-235.65</v>
      </c>
    </row>
    <row r="79" ht="13" customHeight="1">
      <c r="A79" s="15" t="inlineStr">
        <is>
          <t>Jul 10 2026</t>
        </is>
      </c>
      <c r="B79" s="6" t="n">
        <v>25100</v>
      </c>
      <c r="C79" s="6" t="n">
        <v>43083</v>
      </c>
      <c r="D79" s="6" t="n">
        <v>-6142</v>
      </c>
      <c r="E79" s="6" t="n">
        <v>297141</v>
      </c>
      <c r="F79" s="16" t="n">
        <v>14.26</v>
      </c>
      <c r="G79" s="16" t="n">
        <v>1.15</v>
      </c>
      <c r="H79" s="16" t="n">
        <v>-0.7</v>
      </c>
      <c r="I79" s="6" t="n">
        <v>292</v>
      </c>
      <c r="J79" s="6" t="n">
        <v>-20</v>
      </c>
      <c r="K79" s="6" t="n">
        <v>79</v>
      </c>
      <c r="L79" s="16" t="n">
        <v>23.19</v>
      </c>
      <c r="M79" s="16" t="n">
        <v>885.35</v>
      </c>
      <c r="N79" s="16" t="n">
        <v>-244.1</v>
      </c>
    </row>
    <row r="80" ht="13" customHeight="1">
      <c r="A80" s="17" t="inlineStr">
        <is>
          <t>Jul 10 2026</t>
        </is>
      </c>
      <c r="B80" s="4" t="n">
        <v>25150</v>
      </c>
      <c r="C80" s="4" t="n">
        <v>10169</v>
      </c>
      <c r="D80" s="4" t="n">
        <v>-812</v>
      </c>
      <c r="E80" s="4" t="n">
        <v>95071</v>
      </c>
      <c r="F80" s="18" t="n">
        <v>14.8</v>
      </c>
      <c r="G80" s="18" t="n">
        <v>1.05</v>
      </c>
      <c r="H80" s="18" t="n">
        <v>-0.65</v>
      </c>
      <c r="I80" s="4" t="n">
        <v>68</v>
      </c>
      <c r="J80" s="4" t="n">
        <v>-23</v>
      </c>
      <c r="K80" s="4" t="n">
        <v>35</v>
      </c>
      <c r="L80" s="18" t="n">
        <v>23.69</v>
      </c>
      <c r="M80" s="18" t="n">
        <v>933.6</v>
      </c>
      <c r="N80" s="18" t="n">
        <v>-261</v>
      </c>
    </row>
    <row r="81" ht="13" customHeight="1">
      <c r="A81" s="15" t="inlineStr">
        <is>
          <t>Jul 10 2026</t>
        </is>
      </c>
      <c r="B81" s="6" t="n">
        <v>25200</v>
      </c>
      <c r="C81" s="6" t="n">
        <v>68930</v>
      </c>
      <c r="D81" s="6" t="n">
        <v>-11223</v>
      </c>
      <c r="E81" s="6" t="n">
        <v>315386</v>
      </c>
      <c r="F81" s="16" t="n">
        <v>15.21</v>
      </c>
      <c r="G81" s="16" t="n">
        <v>0.9</v>
      </c>
      <c r="H81" s="16" t="n">
        <v>-0.7</v>
      </c>
      <c r="I81" s="6" t="n">
        <v>761</v>
      </c>
      <c r="J81" s="6" t="n">
        <v>-41</v>
      </c>
      <c r="K81" s="6" t="n">
        <v>96</v>
      </c>
      <c r="L81" s="16" t="n">
        <v>25.04</v>
      </c>
      <c r="M81" s="16" t="n">
        <v>984.8</v>
      </c>
      <c r="N81" s="16" t="n">
        <v>-185.2</v>
      </c>
    </row>
    <row r="82" ht="13" customHeight="1">
      <c r="A82" s="17" t="inlineStr">
        <is>
          <t>Jul 10 2026</t>
        </is>
      </c>
      <c r="B82" s="4" t="n">
        <v>25250</v>
      </c>
      <c r="C82" s="4" t="n">
        <v>14389</v>
      </c>
      <c r="D82" s="4" t="n">
        <v>-1525</v>
      </c>
      <c r="E82" s="4" t="n">
        <v>71815</v>
      </c>
      <c r="F82" s="18" t="n">
        <v>15.67</v>
      </c>
      <c r="G82" s="18" t="n">
        <v>0.8</v>
      </c>
      <c r="H82" s="18" t="n">
        <v>-0.65</v>
      </c>
      <c r="I82" s="4" t="n">
        <v>12</v>
      </c>
      <c r="J82" s="4" t="n">
        <v>1</v>
      </c>
      <c r="K82" s="4" t="n">
        <v>7</v>
      </c>
      <c r="L82" s="18" t="n">
        <v>28.78</v>
      </c>
      <c r="M82" s="18" t="n">
        <v>1045</v>
      </c>
      <c r="N82" s="18" t="n">
        <v>-132.55</v>
      </c>
    </row>
    <row r="83" ht="13" customHeight="1">
      <c r="A83" s="15" t="inlineStr">
        <is>
          <t>Jul 10 2026</t>
        </is>
      </c>
      <c r="B83" s="6" t="n">
        <v>25300</v>
      </c>
      <c r="C83" s="6" t="n">
        <v>46774</v>
      </c>
      <c r="D83" s="6" t="n">
        <v>-9173</v>
      </c>
      <c r="E83" s="6" t="n">
        <v>266461</v>
      </c>
      <c r="F83" s="16" t="n">
        <v>16.22</v>
      </c>
      <c r="G83" s="16" t="n">
        <v>0.75</v>
      </c>
      <c r="H83" s="16" t="n">
        <v>-0.55</v>
      </c>
      <c r="I83" s="6" t="n">
        <v>116</v>
      </c>
      <c r="J83" s="6" t="n">
        <v>-37</v>
      </c>
      <c r="K83" s="6" t="n">
        <v>85</v>
      </c>
      <c r="L83" s="16" t="n">
        <v>25.69</v>
      </c>
      <c r="M83" s="16" t="n">
        <v>1080.8</v>
      </c>
      <c r="N83" s="16" t="n">
        <v>-250.45</v>
      </c>
    </row>
    <row r="84" ht="13" customHeight="1">
      <c r="A84" s="17" t="inlineStr">
        <is>
          <t>Jul 10 2026</t>
        </is>
      </c>
      <c r="B84" s="4" t="n">
        <v>25350</v>
      </c>
      <c r="C84" s="4" t="n">
        <v>7624</v>
      </c>
      <c r="D84" s="4" t="n">
        <v>-389</v>
      </c>
      <c r="E84" s="4" t="n">
        <v>34673</v>
      </c>
      <c r="F84" s="18" t="n">
        <v>17</v>
      </c>
      <c r="G84" s="18" t="n">
        <v>0.8</v>
      </c>
      <c r="H84" s="18" t="n">
        <v>-0.45</v>
      </c>
      <c r="I84" s="4" t="n">
        <v>29</v>
      </c>
      <c r="J84" s="4" t="n">
        <v>-9</v>
      </c>
      <c r="K84" s="4" t="n">
        <v>16</v>
      </c>
      <c r="L84" s="18" t="n">
        <v>30.35</v>
      </c>
      <c r="M84" s="18" t="n">
        <v>1143.05</v>
      </c>
      <c r="N84" s="18" t="n">
        <v>-205.6</v>
      </c>
    </row>
    <row r="85" ht="13" customHeight="1">
      <c r="A85" s="15" t="inlineStr">
        <is>
          <t>Jul 10 2026</t>
        </is>
      </c>
      <c r="B85" s="6" t="n">
        <v>25400</v>
      </c>
      <c r="C85" s="6" t="n">
        <v>42240</v>
      </c>
      <c r="D85" s="6" t="n">
        <v>-556</v>
      </c>
      <c r="E85" s="6" t="n">
        <v>160262</v>
      </c>
      <c r="F85" s="16" t="n">
        <v>17.53</v>
      </c>
      <c r="G85" s="16" t="n">
        <v>0.75</v>
      </c>
      <c r="H85" s="16" t="n">
        <v>-0.35</v>
      </c>
      <c r="I85" s="6" t="n">
        <v>139</v>
      </c>
      <c r="J85" s="6" t="n">
        <v>-15</v>
      </c>
      <c r="K85" s="6" t="n">
        <v>50</v>
      </c>
      <c r="L85" s="16" t="n">
        <v>27.48</v>
      </c>
      <c r="M85" s="16" t="n">
        <v>1180.55</v>
      </c>
      <c r="N85" s="16" t="n">
        <v>-250.2</v>
      </c>
    </row>
    <row r="86" ht="13" customHeight="1">
      <c r="A86" s="17" t="inlineStr">
        <is>
          <t>Jul 10 2026</t>
        </is>
      </c>
      <c r="B86" s="4" t="n">
        <v>25450</v>
      </c>
      <c r="C86" s="4" t="n">
        <v>11154</v>
      </c>
      <c r="D86" s="4" t="n">
        <v>2681</v>
      </c>
      <c r="E86" s="4" t="n">
        <v>41383</v>
      </c>
      <c r="F86" s="18" t="n">
        <v>18.04</v>
      </c>
      <c r="G86" s="18" t="n">
        <v>0.7</v>
      </c>
      <c r="H86" s="18" t="n">
        <v>-0.35</v>
      </c>
      <c r="I86" s="4" t="n">
        <v>37</v>
      </c>
      <c r="J86" s="4" t="n">
        <v>-6</v>
      </c>
      <c r="K86" s="4" t="n">
        <v>14</v>
      </c>
      <c r="L86" s="18" t="n">
        <v>32</v>
      </c>
      <c r="M86" s="18" t="n">
        <v>1241.75</v>
      </c>
      <c r="N86" s="18" t="n">
        <v>-144.6</v>
      </c>
    </row>
    <row r="87" ht="13" customHeight="1">
      <c r="A87" s="15" t="inlineStr">
        <is>
          <t>Jul 10 2026</t>
        </is>
      </c>
      <c r="B87" s="6" t="n">
        <v>25500</v>
      </c>
      <c r="C87" s="6" t="n">
        <v>91074</v>
      </c>
      <c r="D87" s="6" t="n">
        <v>-42636</v>
      </c>
      <c r="E87" s="6" t="n">
        <v>505190</v>
      </c>
      <c r="F87" s="16" t="n">
        <v>18.82</v>
      </c>
      <c r="G87" s="16" t="n">
        <v>0.75</v>
      </c>
      <c r="H87" s="16" t="n">
        <v>-0.3</v>
      </c>
      <c r="I87" s="6" t="n">
        <v>2091</v>
      </c>
      <c r="J87" s="6" t="n">
        <v>-258</v>
      </c>
      <c r="K87" s="6" t="n">
        <v>337</v>
      </c>
      <c r="L87" s="16" t="n">
        <v>31.26</v>
      </c>
      <c r="M87" s="16" t="n">
        <v>1286.05</v>
      </c>
      <c r="N87" s="16" t="n">
        <v>-236.65</v>
      </c>
    </row>
    <row r="88" ht="13" customHeight="1">
      <c r="A88" s="17" t="inlineStr">
        <is>
          <t>Jul 10 2026</t>
        </is>
      </c>
      <c r="B88" s="4" t="n">
        <v>25550</v>
      </c>
      <c r="C88" s="4" t="n">
        <v>4908</v>
      </c>
      <c r="D88" s="4" t="n">
        <v>-2498</v>
      </c>
      <c r="E88" s="4" t="n">
        <v>18397</v>
      </c>
      <c r="F88" s="18" t="n">
        <v>19.32</v>
      </c>
      <c r="G88" s="18" t="n">
        <v>0.7</v>
      </c>
      <c r="H88" s="18" t="n">
        <v>-0.2</v>
      </c>
      <c r="I88" s="4" t="n">
        <v>36</v>
      </c>
      <c r="J88" s="4" t="n">
        <v>-11</v>
      </c>
      <c r="K88" s="4" t="n">
        <v>11</v>
      </c>
      <c r="L88" s="18" t="n">
        <v>33.16</v>
      </c>
      <c r="M88" s="18" t="n">
        <v>1339.05</v>
      </c>
      <c r="N88" s="18" t="n">
        <v>-130.35</v>
      </c>
    </row>
    <row r="89" ht="13" customHeight="1">
      <c r="A89" s="15" t="inlineStr">
        <is>
          <t>Jul 10 2026</t>
        </is>
      </c>
      <c r="B89" s="6" t="n">
        <v>25600</v>
      </c>
      <c r="C89" s="6" t="n">
        <v>22725</v>
      </c>
      <c r="D89" s="6" t="n">
        <v>-10918</v>
      </c>
      <c r="E89" s="6" t="n">
        <v>96305</v>
      </c>
      <c r="F89" s="16" t="n">
        <v>19.64</v>
      </c>
      <c r="G89" s="16" t="n">
        <v>0.6</v>
      </c>
      <c r="H89" s="16" t="n">
        <v>-0.25</v>
      </c>
      <c r="I89" s="6" t="n">
        <v>24</v>
      </c>
      <c r="J89" s="6" t="n">
        <v>11</v>
      </c>
      <c r="K89" s="6" t="n">
        <v>16</v>
      </c>
      <c r="L89" s="16" t="n">
        <v>34.66</v>
      </c>
      <c r="M89" s="16" t="n">
        <v>1390.8</v>
      </c>
      <c r="N89" s="16" t="n">
        <v>-199.8</v>
      </c>
    </row>
    <row r="90" ht="13" customHeight="1">
      <c r="A90" s="17" t="inlineStr">
        <is>
          <t>Jul 10 2026</t>
        </is>
      </c>
      <c r="B90" s="4" t="n">
        <v>25650</v>
      </c>
      <c r="C90" s="4" t="n">
        <v>5574</v>
      </c>
      <c r="D90" s="4" t="n">
        <v>-2393</v>
      </c>
      <c r="E90" s="4" t="n">
        <v>21482</v>
      </c>
      <c r="F90" s="18" t="n">
        <v>20.26</v>
      </c>
      <c r="G90" s="18" t="n">
        <v>0.6</v>
      </c>
      <c r="H90" s="18" t="n">
        <v>-0.2</v>
      </c>
      <c r="I90" s="4" t="n">
        <v>22</v>
      </c>
      <c r="J90" s="4" t="n">
        <v>0</v>
      </c>
      <c r="K90" s="4" t="n">
        <v>0</v>
      </c>
      <c r="L90" s="17" t="n"/>
      <c r="M90" s="18" t="n">
        <v>1596.45</v>
      </c>
      <c r="N90" s="17" t="n"/>
    </row>
    <row r="91" ht="13" customHeight="1">
      <c r="A91" s="15" t="inlineStr">
        <is>
          <t>Jul 10 2026</t>
        </is>
      </c>
      <c r="B91" s="6" t="n">
        <v>25700</v>
      </c>
      <c r="C91" s="6" t="n">
        <v>19220</v>
      </c>
      <c r="D91" s="6" t="n">
        <v>-6395</v>
      </c>
      <c r="E91" s="6" t="n">
        <v>61142</v>
      </c>
      <c r="F91" s="16" t="n">
        <v>21.05</v>
      </c>
      <c r="G91" s="16" t="n">
        <v>0.65</v>
      </c>
      <c r="H91" s="16" t="n">
        <v>-0.1</v>
      </c>
      <c r="I91" s="6" t="n">
        <v>12</v>
      </c>
      <c r="J91" s="6" t="n">
        <v>0</v>
      </c>
      <c r="K91" s="6" t="n">
        <v>0</v>
      </c>
      <c r="L91" s="15" t="n"/>
      <c r="M91" s="16" t="n">
        <v>1618.5</v>
      </c>
      <c r="N91" s="15" t="n"/>
    </row>
    <row r="92" ht="13" customHeight="1">
      <c r="A92" s="17" t="inlineStr">
        <is>
          <t>Jul 10 2026</t>
        </is>
      </c>
      <c r="B92" s="4" t="n">
        <v>25750</v>
      </c>
      <c r="C92" s="4" t="n">
        <v>3693</v>
      </c>
      <c r="D92" s="4" t="n">
        <v>-2268</v>
      </c>
      <c r="E92" s="4" t="n">
        <v>15714</v>
      </c>
      <c r="F92" s="18" t="n">
        <v>21.5</v>
      </c>
      <c r="G92" s="18" t="n">
        <v>0.6</v>
      </c>
      <c r="H92" s="18" t="n">
        <v>-0.15</v>
      </c>
      <c r="I92" s="4" t="n">
        <v>27</v>
      </c>
      <c r="J92" s="4" t="n">
        <v>-3</v>
      </c>
      <c r="K92" s="4" t="n">
        <v>3</v>
      </c>
      <c r="L92" s="18" t="n">
        <v>37.47</v>
      </c>
      <c r="M92" s="18" t="n">
        <v>1540.6</v>
      </c>
      <c r="N92" s="18" t="n">
        <v>-142.6</v>
      </c>
    </row>
    <row r="93" ht="13" customHeight="1">
      <c r="A93" s="15" t="inlineStr">
        <is>
          <t>Jul 10 2026</t>
        </is>
      </c>
      <c r="B93" s="6" t="n">
        <v>25800</v>
      </c>
      <c r="C93" s="6" t="n">
        <v>9743</v>
      </c>
      <c r="D93" s="6" t="n">
        <v>-7092</v>
      </c>
      <c r="E93" s="6" t="n">
        <v>37761</v>
      </c>
      <c r="F93" s="16" t="n">
        <v>22.11</v>
      </c>
      <c r="G93" s="16" t="n">
        <v>0.6</v>
      </c>
      <c r="H93" s="16" t="n">
        <v>-0.15</v>
      </c>
      <c r="I93" s="6" t="n">
        <v>29</v>
      </c>
      <c r="J93" s="6" t="n">
        <v>-3</v>
      </c>
      <c r="K93" s="6" t="n">
        <v>19</v>
      </c>
      <c r="L93" s="16" t="n">
        <v>35.45</v>
      </c>
      <c r="M93" s="16" t="n">
        <v>1582.3</v>
      </c>
      <c r="N93" s="16" t="n">
        <v>-177.5</v>
      </c>
    </row>
    <row r="94" ht="13" customHeight="1">
      <c r="A94" s="17" t="inlineStr">
        <is>
          <t>Jul 10 2026</t>
        </is>
      </c>
      <c r="B94" s="4" t="n">
        <v>25850</v>
      </c>
      <c r="C94" s="4" t="n">
        <v>2073</v>
      </c>
      <c r="D94" s="4" t="n">
        <v>-1310</v>
      </c>
      <c r="E94" s="4" t="n">
        <v>9710</v>
      </c>
      <c r="F94" s="18" t="n">
        <v>22.52</v>
      </c>
      <c r="G94" s="18" t="n">
        <v>0.55</v>
      </c>
      <c r="H94" s="18" t="n">
        <v>-0.2</v>
      </c>
      <c r="I94" s="4" t="n">
        <v>47</v>
      </c>
      <c r="J94" s="4" t="n">
        <v>-1</v>
      </c>
      <c r="K94" s="4" t="n">
        <v>1</v>
      </c>
      <c r="L94" s="18" t="n">
        <v>38.93</v>
      </c>
      <c r="M94" s="18" t="n">
        <v>1639.35</v>
      </c>
      <c r="N94" s="18" t="n">
        <v>-138.35</v>
      </c>
    </row>
    <row r="95" ht="13" customHeight="1">
      <c r="A95" s="15" t="inlineStr">
        <is>
          <t>Jul 10 2026</t>
        </is>
      </c>
      <c r="B95" s="6" t="n">
        <v>25900</v>
      </c>
      <c r="C95" s="6" t="n">
        <v>10862</v>
      </c>
      <c r="D95" s="6" t="n">
        <v>-61</v>
      </c>
      <c r="E95" s="6" t="n">
        <v>19767</v>
      </c>
      <c r="F95" s="16" t="n">
        <v>22.91</v>
      </c>
      <c r="G95" s="16" t="n">
        <v>0.5</v>
      </c>
      <c r="H95" s="16" t="n">
        <v>-0.2</v>
      </c>
      <c r="I95" s="6" t="n">
        <v>6</v>
      </c>
      <c r="J95" s="6" t="n">
        <v>0</v>
      </c>
      <c r="K95" s="6" t="n">
        <v>0</v>
      </c>
      <c r="L95" s="15" t="n"/>
      <c r="M95" s="16" t="n">
        <v>1434.1</v>
      </c>
      <c r="N95" s="15" t="n"/>
    </row>
    <row r="96" ht="13" customHeight="1">
      <c r="A96" s="17" t="inlineStr">
        <is>
          <t>Jul 10 2026</t>
        </is>
      </c>
      <c r="B96" s="4" t="n">
        <v>25950</v>
      </c>
      <c r="C96" s="4" t="n">
        <v>1713</v>
      </c>
      <c r="D96" s="4" t="n">
        <v>-564</v>
      </c>
      <c r="E96" s="4" t="n">
        <v>2242</v>
      </c>
      <c r="F96" s="18" t="n">
        <v>23.73</v>
      </c>
      <c r="G96" s="18" t="n">
        <v>0.55</v>
      </c>
      <c r="H96" s="18" t="n">
        <v>-0.15</v>
      </c>
      <c r="I96" s="4" t="n">
        <v>123</v>
      </c>
      <c r="J96" s="4" t="n">
        <v>0</v>
      </c>
      <c r="K96" s="4" t="n">
        <v>0</v>
      </c>
      <c r="L96" s="18" t="n">
        <v>48.17</v>
      </c>
      <c r="M96" s="18" t="n">
        <v>1991</v>
      </c>
      <c r="N96" s="17" t="n"/>
    </row>
    <row r="97" ht="13" customHeight="1">
      <c r="A97" s="15" t="inlineStr">
        <is>
          <t>Jul 10 2026</t>
        </is>
      </c>
      <c r="B97" s="6" t="n">
        <v>26000</v>
      </c>
      <c r="C97" s="6" t="n">
        <v>26688</v>
      </c>
      <c r="D97" s="6" t="n">
        <v>-12648</v>
      </c>
      <c r="E97" s="6" t="n">
        <v>119635</v>
      </c>
      <c r="F97" s="16" t="n">
        <v>24.33</v>
      </c>
      <c r="G97" s="16" t="n">
        <v>0.55</v>
      </c>
      <c r="H97" s="16" t="n">
        <v>-0.15</v>
      </c>
      <c r="I97" s="6" t="n">
        <v>1311</v>
      </c>
      <c r="J97" s="6" t="n">
        <v>-3</v>
      </c>
      <c r="K97" s="6" t="n">
        <v>75</v>
      </c>
      <c r="L97" s="16" t="n">
        <v>39.38</v>
      </c>
      <c r="M97" s="16" t="n">
        <v>1783.2</v>
      </c>
      <c r="N97" s="16" t="n">
        <v>-255.75</v>
      </c>
    </row>
    <row r="98" ht="13" customHeight="1">
      <c r="A98" s="17" t="inlineStr">
        <is>
          <t>Jul 10 2026</t>
        </is>
      </c>
      <c r="B98" s="4" t="n">
        <v>26050</v>
      </c>
      <c r="C98" s="4" t="n">
        <v>1344</v>
      </c>
      <c r="D98" s="4" t="n">
        <v>-55</v>
      </c>
      <c r="E98" s="4" t="n">
        <v>3420</v>
      </c>
      <c r="F98" s="18" t="n">
        <v>24.69</v>
      </c>
      <c r="G98" s="18" t="n">
        <v>0.5</v>
      </c>
      <c r="H98" s="18" t="n">
        <v>-0.2</v>
      </c>
      <c r="I98" s="4" t="n">
        <v>91</v>
      </c>
      <c r="J98" s="4" t="n">
        <v>0</v>
      </c>
      <c r="K98" s="4" t="n">
        <v>2</v>
      </c>
      <c r="L98" s="18" t="n">
        <v>43.12</v>
      </c>
      <c r="M98" s="18" t="n">
        <v>1840.8</v>
      </c>
      <c r="N98" s="18" t="n">
        <v>-227.6</v>
      </c>
    </row>
    <row r="99" ht="13" customHeight="1">
      <c r="A99" s="15" t="inlineStr">
        <is>
          <t>Jul 10 2026</t>
        </is>
      </c>
      <c r="B99" s="6" t="n">
        <v>26100</v>
      </c>
      <c r="C99" s="6" t="n">
        <v>5311</v>
      </c>
      <c r="D99" s="6" t="n">
        <v>2651</v>
      </c>
      <c r="E99" s="6" t="n">
        <v>13398</v>
      </c>
      <c r="F99" s="16" t="n">
        <v>25.03</v>
      </c>
      <c r="G99" s="16" t="n">
        <v>0.45</v>
      </c>
      <c r="H99" s="16" t="n">
        <v>-0.2</v>
      </c>
      <c r="I99" s="6" t="n">
        <v>16</v>
      </c>
      <c r="J99" s="6" t="n">
        <v>-11</v>
      </c>
      <c r="K99" s="6" t="n">
        <v>19</v>
      </c>
      <c r="L99" s="16" t="n">
        <v>43.43</v>
      </c>
      <c r="M99" s="16" t="n">
        <v>1889.1</v>
      </c>
      <c r="N99" s="16" t="n">
        <v>-174.25</v>
      </c>
    </row>
    <row r="100" ht="13" customHeight="1">
      <c r="A100" s="17" t="inlineStr">
        <is>
          <t>Jul 10 2026</t>
        </is>
      </c>
      <c r="B100" s="4" t="n">
        <v>26150</v>
      </c>
      <c r="C100" s="4" t="n">
        <v>1122</v>
      </c>
      <c r="D100" s="4" t="n">
        <v>220</v>
      </c>
      <c r="E100" s="4" t="n">
        <v>8200</v>
      </c>
      <c r="F100" s="18" t="n">
        <v>25.33</v>
      </c>
      <c r="G100" s="18" t="n">
        <v>0.4</v>
      </c>
      <c r="H100" s="18" t="n">
        <v>-0.25</v>
      </c>
      <c r="I100" s="4" t="n">
        <v>10</v>
      </c>
      <c r="J100" s="4" t="n">
        <v>-15</v>
      </c>
      <c r="K100" s="4" t="n">
        <v>17</v>
      </c>
      <c r="L100" s="18" t="n">
        <v>44.27</v>
      </c>
      <c r="M100" s="18" t="n">
        <v>1938.95</v>
      </c>
      <c r="N100" s="18" t="n">
        <v>-154.85</v>
      </c>
    </row>
    <row r="101" ht="13" customHeight="1">
      <c r="A101" s="15" t="inlineStr">
        <is>
          <t>Jul 10 2026</t>
        </is>
      </c>
      <c r="B101" s="6" t="n">
        <v>26200</v>
      </c>
      <c r="C101" s="6" t="n">
        <v>3388</v>
      </c>
      <c r="D101" s="6" t="n">
        <v>90</v>
      </c>
      <c r="E101" s="6" t="n">
        <v>9510</v>
      </c>
      <c r="F101" s="16" t="n">
        <v>25.91</v>
      </c>
      <c r="G101" s="16" t="n">
        <v>0.4</v>
      </c>
      <c r="H101" s="16" t="n">
        <v>-0.2</v>
      </c>
      <c r="I101" s="6" t="n">
        <v>0</v>
      </c>
      <c r="J101" s="6" t="n">
        <v>0</v>
      </c>
      <c r="K101" s="6" t="n">
        <v>0</v>
      </c>
      <c r="L101" s="15" t="n"/>
      <c r="M101" s="15" t="n"/>
      <c r="N101" s="15" t="n"/>
    </row>
    <row r="102" ht="13" customHeight="1">
      <c r="A102" s="17" t="inlineStr">
        <is>
          <t>Jul 10 2026</t>
        </is>
      </c>
      <c r="B102" s="4" t="n">
        <v>26250</v>
      </c>
      <c r="C102" s="4" t="n">
        <v>2750</v>
      </c>
      <c r="D102" s="4" t="n">
        <v>491</v>
      </c>
      <c r="E102" s="4" t="n">
        <v>6649</v>
      </c>
      <c r="F102" s="18" t="n">
        <v>26.48</v>
      </c>
      <c r="G102" s="18" t="n">
        <v>0.4</v>
      </c>
      <c r="H102" s="18" t="n">
        <v>-0.2</v>
      </c>
      <c r="I102" s="4" t="n">
        <v>0</v>
      </c>
      <c r="J102" s="4" t="n">
        <v>0</v>
      </c>
      <c r="K102" s="4" t="n">
        <v>0</v>
      </c>
      <c r="L102" s="17" t="n"/>
      <c r="M102" s="17" t="n"/>
      <c r="N102" s="17" t="n"/>
    </row>
    <row r="103" ht="13" customHeight="1">
      <c r="A103" s="15" t="inlineStr">
        <is>
          <t>Jul 10 2026</t>
        </is>
      </c>
      <c r="B103" s="6" t="n">
        <v>26300</v>
      </c>
      <c r="C103" s="6" t="n">
        <v>22480</v>
      </c>
      <c r="D103" s="6" t="n">
        <v>3555</v>
      </c>
      <c r="E103" s="6" t="n">
        <v>37769</v>
      </c>
      <c r="F103" s="16" t="n">
        <v>27.05</v>
      </c>
      <c r="G103" s="16" t="n">
        <v>0.4</v>
      </c>
      <c r="H103" s="16" t="n">
        <v>-0.15</v>
      </c>
      <c r="I103" s="6" t="n">
        <v>8</v>
      </c>
      <c r="J103" s="6" t="n">
        <v>0</v>
      </c>
      <c r="K103" s="6" t="n">
        <v>0</v>
      </c>
      <c r="L103" s="15" t="n"/>
      <c r="M103" s="16" t="n">
        <v>2229.25</v>
      </c>
      <c r="N103" s="15" t="n"/>
    </row>
  </sheetData>
  <mergeCells count="5">
    <mergeCell ref="A2:B2"/>
    <mergeCell ref="A4:N4"/>
    <mergeCell ref="J2:N2"/>
    <mergeCell ref="C2:I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OI Dashboard</t>
        </is>
      </c>
    </row>
    <row r="2" ht="16" customHeight="1">
      <c r="A2" s="19" t="inlineStr">
        <is>
          <t>Metric</t>
        </is>
      </c>
      <c r="B2" s="19" t="inlineStr">
        <is>
          <t>Jul 06 2026</t>
        </is>
      </c>
      <c r="C2" s="20" t="n"/>
      <c r="D2" s="20" t="n"/>
      <c r="E2" s="20" t="n"/>
      <c r="F2" s="21" t="n"/>
      <c r="G2" s="19" t="inlineStr">
        <is>
          <t>Jul 07 2026</t>
        </is>
      </c>
      <c r="H2" s="20" t="n"/>
      <c r="I2" s="20" t="n"/>
      <c r="J2" s="20" t="n"/>
      <c r="K2" s="21" t="n"/>
      <c r="L2" s="19" t="inlineStr">
        <is>
          <t>Jul 08 2026</t>
        </is>
      </c>
      <c r="M2" s="20" t="n"/>
      <c r="N2" s="20" t="n"/>
      <c r="O2" s="20" t="n"/>
      <c r="P2" s="21" t="n"/>
      <c r="Q2" s="19" t="inlineStr">
        <is>
          <t>Jul 09 2026</t>
        </is>
      </c>
      <c r="R2" s="20" t="n"/>
      <c r="S2" s="20" t="n"/>
      <c r="T2" s="20" t="n"/>
      <c r="U2" s="21" t="n"/>
      <c r="V2" s="19" t="inlineStr">
        <is>
          <t>Jul 10 2026</t>
        </is>
      </c>
      <c r="W2" s="20" t="n"/>
      <c r="X2" s="20" t="n"/>
      <c r="Y2" s="20" t="n"/>
      <c r="Z2" s="21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FUTURES — INDEX</t>
        </is>
      </c>
    </row>
    <row r="5" ht="14" customHeight="1">
      <c r="A5" s="25" t="inlineStr">
        <is>
          <t>Long OI</t>
        </is>
      </c>
      <c r="B5" s="4">
        <f>'Raw OI Data'!C3</f>
        <v/>
      </c>
      <c r="C5" s="4">
        <f>'Raw OI Data'!C4</f>
        <v/>
      </c>
      <c r="D5" s="4">
        <f>'Raw OI Data'!C5</f>
        <v/>
      </c>
      <c r="E5" s="4">
        <f>'Raw OI Data'!C6</f>
        <v/>
      </c>
      <c r="F5" s="26" t="n"/>
      <c r="G5" s="4">
        <f>'Raw OI Data'!C7</f>
        <v/>
      </c>
      <c r="H5" s="4">
        <f>'Raw OI Data'!C8</f>
        <v/>
      </c>
      <c r="I5" s="4">
        <f>'Raw OI Data'!C9</f>
        <v/>
      </c>
      <c r="J5" s="4">
        <f>'Raw OI Data'!C10</f>
        <v/>
      </c>
      <c r="K5" s="26" t="n"/>
      <c r="L5" s="4">
        <f>'Raw OI Data'!C11</f>
        <v/>
      </c>
      <c r="M5" s="4">
        <f>'Raw OI Data'!C12</f>
        <v/>
      </c>
      <c r="N5" s="4">
        <f>'Raw OI Data'!C13</f>
        <v/>
      </c>
      <c r="O5" s="4">
        <f>'Raw OI Data'!C14</f>
        <v/>
      </c>
      <c r="P5" s="26" t="n"/>
      <c r="Q5" s="4">
        <f>'Raw OI Data'!C15</f>
        <v/>
      </c>
      <c r="R5" s="4">
        <f>'Raw OI Data'!C16</f>
        <v/>
      </c>
      <c r="S5" s="4">
        <f>'Raw OI Data'!C17</f>
        <v/>
      </c>
      <c r="T5" s="4">
        <f>'Raw OI Data'!C18</f>
        <v/>
      </c>
      <c r="U5" s="26" t="n"/>
      <c r="V5" s="4">
        <f>'Raw OI Data'!C19</f>
        <v/>
      </c>
      <c r="W5" s="4">
        <f>'Raw OI Data'!C20</f>
        <v/>
      </c>
      <c r="X5" s="4">
        <f>'Raw OI Data'!C21</f>
        <v/>
      </c>
      <c r="Y5" s="4">
        <f>'Raw OI Data'!C22</f>
        <v/>
      </c>
      <c r="Z5" s="26" t="n"/>
    </row>
    <row r="6" ht="14" customHeight="1">
      <c r="A6" s="25" t="inlineStr">
        <is>
          <t>Short OI</t>
        </is>
      </c>
      <c r="B6" s="6">
        <f>'Raw OI Data'!D3</f>
        <v/>
      </c>
      <c r="C6" s="6">
        <f>'Raw OI Data'!D4</f>
        <v/>
      </c>
      <c r="D6" s="6">
        <f>'Raw OI Data'!D5</f>
        <v/>
      </c>
      <c r="E6" s="6">
        <f>'Raw OI Data'!D6</f>
        <v/>
      </c>
      <c r="F6" s="27" t="n"/>
      <c r="G6" s="6">
        <f>'Raw OI Data'!D7</f>
        <v/>
      </c>
      <c r="H6" s="6">
        <f>'Raw OI Data'!D8</f>
        <v/>
      </c>
      <c r="I6" s="6">
        <f>'Raw OI Data'!D9</f>
        <v/>
      </c>
      <c r="J6" s="6">
        <f>'Raw OI Data'!D10</f>
        <v/>
      </c>
      <c r="K6" s="27" t="n"/>
      <c r="L6" s="6">
        <f>'Raw OI Data'!D11</f>
        <v/>
      </c>
      <c r="M6" s="6">
        <f>'Raw OI Data'!D12</f>
        <v/>
      </c>
      <c r="N6" s="6">
        <f>'Raw OI Data'!D13</f>
        <v/>
      </c>
      <c r="O6" s="6">
        <f>'Raw OI Data'!D14</f>
        <v/>
      </c>
      <c r="P6" s="27" t="n"/>
      <c r="Q6" s="6">
        <f>'Raw OI Data'!D15</f>
        <v/>
      </c>
      <c r="R6" s="6">
        <f>'Raw OI Data'!D16</f>
        <v/>
      </c>
      <c r="S6" s="6">
        <f>'Raw OI Data'!D17</f>
        <v/>
      </c>
      <c r="T6" s="6">
        <f>'Raw OI Data'!D18</f>
        <v/>
      </c>
      <c r="U6" s="27" t="n"/>
      <c r="V6" s="6">
        <f>'Raw OI Data'!D19</f>
        <v/>
      </c>
      <c r="W6" s="6">
        <f>'Raw OI Data'!D20</f>
        <v/>
      </c>
      <c r="X6" s="6">
        <f>'Raw OI Data'!D21</f>
        <v/>
      </c>
      <c r="Y6" s="6">
        <f>'Raw OI Data'!D22</f>
        <v/>
      </c>
      <c r="Z6" s="27" t="n"/>
    </row>
    <row r="7" ht="14" customHeight="1">
      <c r="A7" s="25" t="inlineStr">
        <is>
          <t>Net OI (L−S)</t>
        </is>
      </c>
      <c r="B7" s="28">
        <f>'Raw OI Data'!C3-'Raw OI Data'!D3</f>
        <v/>
      </c>
      <c r="C7" s="28">
        <f>'Raw OI Data'!C4-'Raw OI Data'!D4</f>
        <v/>
      </c>
      <c r="D7" s="28">
        <f>'Raw OI Data'!C5-'Raw OI Data'!D5</f>
        <v/>
      </c>
      <c r="E7" s="28">
        <f>'Raw OI Data'!C6-'Raw OI Data'!D6</f>
        <v/>
      </c>
      <c r="F7" s="26" t="n"/>
      <c r="G7" s="28">
        <f>'Raw OI Data'!C7-'Raw OI Data'!D7</f>
        <v/>
      </c>
      <c r="H7" s="28">
        <f>'Raw OI Data'!C8-'Raw OI Data'!D8</f>
        <v/>
      </c>
      <c r="I7" s="28">
        <f>'Raw OI Data'!C9-'Raw OI Data'!D9</f>
        <v/>
      </c>
      <c r="J7" s="28">
        <f>'Raw OI Data'!C10-'Raw OI Data'!D10</f>
        <v/>
      </c>
      <c r="K7" s="26" t="n"/>
      <c r="L7" s="28">
        <f>'Raw OI Data'!C11-'Raw OI Data'!D11</f>
        <v/>
      </c>
      <c r="M7" s="28">
        <f>'Raw OI Data'!C12-'Raw OI Data'!D12</f>
        <v/>
      </c>
      <c r="N7" s="28">
        <f>'Raw OI Data'!C13-'Raw OI Data'!D13</f>
        <v/>
      </c>
      <c r="O7" s="28">
        <f>'Raw OI Data'!C14-'Raw OI Data'!D14</f>
        <v/>
      </c>
      <c r="P7" s="26" t="n"/>
      <c r="Q7" s="28">
        <f>'Raw OI Data'!C15-'Raw OI Data'!D15</f>
        <v/>
      </c>
      <c r="R7" s="28">
        <f>'Raw OI Data'!C16-'Raw OI Data'!D16</f>
        <v/>
      </c>
      <c r="S7" s="28">
        <f>'Raw OI Data'!C17-'Raw OI Data'!D17</f>
        <v/>
      </c>
      <c r="T7" s="28">
        <f>'Raw OI Data'!C18-'Raw OI Data'!D18</f>
        <v/>
      </c>
      <c r="U7" s="26" t="n"/>
      <c r="V7" s="28">
        <f>'Raw OI Data'!C19-'Raw OI Data'!D19</f>
        <v/>
      </c>
      <c r="W7" s="28">
        <f>'Raw OI Data'!C20-'Raw OI Data'!D20</f>
        <v/>
      </c>
      <c r="X7" s="28">
        <f>'Raw OI Data'!C21-'Raw OI Data'!D21</f>
        <v/>
      </c>
      <c r="Y7" s="28">
        <f>'Raw OI Data'!C22-'Raw OI Data'!D22</f>
        <v/>
      </c>
      <c r="Z7" s="26" t="n"/>
    </row>
    <row r="8" ht="14" customHeight="1">
      <c r="A8" s="25" t="inlineStr">
        <is>
          <t>L/S Ratio</t>
        </is>
      </c>
      <c r="B8" s="29">
        <f>IFERROR('Raw OI Data'!C3/'Raw OI Data'!D3,0)</f>
        <v/>
      </c>
      <c r="C8" s="29">
        <f>IFERROR('Raw OI Data'!C4/'Raw OI Data'!D4,0)</f>
        <v/>
      </c>
      <c r="D8" s="29">
        <f>IFERROR('Raw OI Data'!C5/'Raw OI Data'!D5,0)</f>
        <v/>
      </c>
      <c r="E8" s="29">
        <f>IFERROR('Raw OI Data'!C6/'Raw OI Data'!D6,0)</f>
        <v/>
      </c>
      <c r="F8" s="27" t="n"/>
      <c r="G8" s="29">
        <f>IFERROR('Raw OI Data'!C7/'Raw OI Data'!D7,0)</f>
        <v/>
      </c>
      <c r="H8" s="29">
        <f>IFERROR('Raw OI Data'!C8/'Raw OI Data'!D8,0)</f>
        <v/>
      </c>
      <c r="I8" s="29">
        <f>IFERROR('Raw OI Data'!C9/'Raw OI Data'!D9,0)</f>
        <v/>
      </c>
      <c r="J8" s="29">
        <f>IFERROR('Raw OI Data'!C10/'Raw OI Data'!D10,0)</f>
        <v/>
      </c>
      <c r="K8" s="27" t="n"/>
      <c r="L8" s="29">
        <f>IFERROR('Raw OI Data'!C11/'Raw OI Data'!D11,0)</f>
        <v/>
      </c>
      <c r="M8" s="29">
        <f>IFERROR('Raw OI Data'!C12/'Raw OI Data'!D12,0)</f>
        <v/>
      </c>
      <c r="N8" s="29">
        <f>IFERROR('Raw OI Data'!C13/'Raw OI Data'!D13,0)</f>
        <v/>
      </c>
      <c r="O8" s="29">
        <f>IFERROR('Raw OI Data'!C14/'Raw OI Data'!D14,0)</f>
        <v/>
      </c>
      <c r="P8" s="27" t="n"/>
      <c r="Q8" s="29">
        <f>IFERROR('Raw OI Data'!C15/'Raw OI Data'!D15,0)</f>
        <v/>
      </c>
      <c r="R8" s="29">
        <f>IFERROR('Raw OI Data'!C16/'Raw OI Data'!D16,0)</f>
        <v/>
      </c>
      <c r="S8" s="29">
        <f>IFERROR('Raw OI Data'!C17/'Raw OI Data'!D17,0)</f>
        <v/>
      </c>
      <c r="T8" s="29">
        <f>IFERROR('Raw OI Data'!C18/'Raw OI Data'!D18,0)</f>
        <v/>
      </c>
      <c r="U8" s="27" t="n"/>
      <c r="V8" s="29">
        <f>IFERROR('Raw OI Data'!C19/'Raw OI Data'!D19,0)</f>
        <v/>
      </c>
      <c r="W8" s="29">
        <f>IFERROR('Raw OI Data'!C20/'Raw OI Data'!D20,0)</f>
        <v/>
      </c>
      <c r="X8" s="29">
        <f>IFERROR('Raw OI Data'!C21/'Raw OI Data'!D21,0)</f>
        <v/>
      </c>
      <c r="Y8" s="29">
        <f>IFERROR('Raw OI Data'!C22/'Raw OI Data'!D22,0)</f>
        <v/>
      </c>
      <c r="Z8" s="27" t="n"/>
    </row>
    <row r="9" ht="16" customHeight="1">
      <c r="A9" s="14" t="inlineStr">
        <is>
          <t>FUTURES — STOCK</t>
        </is>
      </c>
    </row>
    <row r="10" ht="14" customHeight="1">
      <c r="A10" s="25" t="inlineStr">
        <is>
          <t>Long OI</t>
        </is>
      </c>
      <c r="B10" s="4">
        <f>'Raw OI Data'!E3</f>
        <v/>
      </c>
      <c r="C10" s="4">
        <f>'Raw OI Data'!E4</f>
        <v/>
      </c>
      <c r="D10" s="4">
        <f>'Raw OI Data'!E5</f>
        <v/>
      </c>
      <c r="E10" s="4">
        <f>'Raw OI Data'!E6</f>
        <v/>
      </c>
      <c r="F10" s="26" t="n"/>
      <c r="G10" s="4">
        <f>'Raw OI Data'!E7</f>
        <v/>
      </c>
      <c r="H10" s="4">
        <f>'Raw OI Data'!E8</f>
        <v/>
      </c>
      <c r="I10" s="4">
        <f>'Raw OI Data'!E9</f>
        <v/>
      </c>
      <c r="J10" s="4">
        <f>'Raw OI Data'!E10</f>
        <v/>
      </c>
      <c r="K10" s="26" t="n"/>
      <c r="L10" s="4">
        <f>'Raw OI Data'!E11</f>
        <v/>
      </c>
      <c r="M10" s="4">
        <f>'Raw OI Data'!E12</f>
        <v/>
      </c>
      <c r="N10" s="4">
        <f>'Raw OI Data'!E13</f>
        <v/>
      </c>
      <c r="O10" s="4">
        <f>'Raw OI Data'!E14</f>
        <v/>
      </c>
      <c r="P10" s="26" t="n"/>
      <c r="Q10" s="4">
        <f>'Raw OI Data'!E15</f>
        <v/>
      </c>
      <c r="R10" s="4">
        <f>'Raw OI Data'!E16</f>
        <v/>
      </c>
      <c r="S10" s="4">
        <f>'Raw OI Data'!E17</f>
        <v/>
      </c>
      <c r="T10" s="4">
        <f>'Raw OI Data'!E18</f>
        <v/>
      </c>
      <c r="U10" s="26" t="n"/>
      <c r="V10" s="4">
        <f>'Raw OI Data'!E19</f>
        <v/>
      </c>
      <c r="W10" s="4">
        <f>'Raw OI Data'!E20</f>
        <v/>
      </c>
      <c r="X10" s="4">
        <f>'Raw OI Data'!E21</f>
        <v/>
      </c>
      <c r="Y10" s="4">
        <f>'Raw OI Data'!E22</f>
        <v/>
      </c>
      <c r="Z10" s="26" t="n"/>
    </row>
    <row r="11" ht="14" customHeight="1">
      <c r="A11" s="25" t="inlineStr">
        <is>
          <t>Short OI</t>
        </is>
      </c>
      <c r="B11" s="6">
        <f>'Raw OI Data'!F3</f>
        <v/>
      </c>
      <c r="C11" s="6">
        <f>'Raw OI Data'!F4</f>
        <v/>
      </c>
      <c r="D11" s="6">
        <f>'Raw OI Data'!F5</f>
        <v/>
      </c>
      <c r="E11" s="6">
        <f>'Raw OI Data'!F6</f>
        <v/>
      </c>
      <c r="F11" s="27" t="n"/>
      <c r="G11" s="6">
        <f>'Raw OI Data'!F7</f>
        <v/>
      </c>
      <c r="H11" s="6">
        <f>'Raw OI Data'!F8</f>
        <v/>
      </c>
      <c r="I11" s="6">
        <f>'Raw OI Data'!F9</f>
        <v/>
      </c>
      <c r="J11" s="6">
        <f>'Raw OI Data'!F10</f>
        <v/>
      </c>
      <c r="K11" s="27" t="n"/>
      <c r="L11" s="6">
        <f>'Raw OI Data'!F11</f>
        <v/>
      </c>
      <c r="M11" s="6">
        <f>'Raw OI Data'!F12</f>
        <v/>
      </c>
      <c r="N11" s="6">
        <f>'Raw OI Data'!F13</f>
        <v/>
      </c>
      <c r="O11" s="6">
        <f>'Raw OI Data'!F14</f>
        <v/>
      </c>
      <c r="P11" s="27" t="n"/>
      <c r="Q11" s="6">
        <f>'Raw OI Data'!F15</f>
        <v/>
      </c>
      <c r="R11" s="6">
        <f>'Raw OI Data'!F16</f>
        <v/>
      </c>
      <c r="S11" s="6">
        <f>'Raw OI Data'!F17</f>
        <v/>
      </c>
      <c r="T11" s="6">
        <f>'Raw OI Data'!F18</f>
        <v/>
      </c>
      <c r="U11" s="27" t="n"/>
      <c r="V11" s="6">
        <f>'Raw OI Data'!F19</f>
        <v/>
      </c>
      <c r="W11" s="6">
        <f>'Raw OI Data'!F20</f>
        <v/>
      </c>
      <c r="X11" s="6">
        <f>'Raw OI Data'!F21</f>
        <v/>
      </c>
      <c r="Y11" s="6">
        <f>'Raw OI Data'!F22</f>
        <v/>
      </c>
      <c r="Z11" s="27" t="n"/>
    </row>
    <row r="12" ht="14" customHeight="1">
      <c r="A12" s="25" t="inlineStr">
        <is>
          <t>Net OI (L−S)</t>
        </is>
      </c>
      <c r="B12" s="28">
        <f>'Raw OI Data'!E3-'Raw OI Data'!F3</f>
        <v/>
      </c>
      <c r="C12" s="28">
        <f>'Raw OI Data'!E4-'Raw OI Data'!F4</f>
        <v/>
      </c>
      <c r="D12" s="28">
        <f>'Raw OI Data'!E5-'Raw OI Data'!F5</f>
        <v/>
      </c>
      <c r="E12" s="28">
        <f>'Raw OI Data'!E6-'Raw OI Data'!F6</f>
        <v/>
      </c>
      <c r="F12" s="26" t="n"/>
      <c r="G12" s="28">
        <f>'Raw OI Data'!E7-'Raw OI Data'!F7</f>
        <v/>
      </c>
      <c r="H12" s="28">
        <f>'Raw OI Data'!E8-'Raw OI Data'!F8</f>
        <v/>
      </c>
      <c r="I12" s="28">
        <f>'Raw OI Data'!E9-'Raw OI Data'!F9</f>
        <v/>
      </c>
      <c r="J12" s="28">
        <f>'Raw OI Data'!E10-'Raw OI Data'!F10</f>
        <v/>
      </c>
      <c r="K12" s="26" t="n"/>
      <c r="L12" s="28">
        <f>'Raw OI Data'!E11-'Raw OI Data'!F11</f>
        <v/>
      </c>
      <c r="M12" s="28">
        <f>'Raw OI Data'!E12-'Raw OI Data'!F12</f>
        <v/>
      </c>
      <c r="N12" s="28">
        <f>'Raw OI Data'!E13-'Raw OI Data'!F13</f>
        <v/>
      </c>
      <c r="O12" s="28">
        <f>'Raw OI Data'!E14-'Raw OI Data'!F14</f>
        <v/>
      </c>
      <c r="P12" s="26" t="n"/>
      <c r="Q12" s="28">
        <f>'Raw OI Data'!E15-'Raw OI Data'!F15</f>
        <v/>
      </c>
      <c r="R12" s="28">
        <f>'Raw OI Data'!E16-'Raw OI Data'!F16</f>
        <v/>
      </c>
      <c r="S12" s="28">
        <f>'Raw OI Data'!E17-'Raw OI Data'!F17</f>
        <v/>
      </c>
      <c r="T12" s="28">
        <f>'Raw OI Data'!E18-'Raw OI Data'!F18</f>
        <v/>
      </c>
      <c r="U12" s="26" t="n"/>
      <c r="V12" s="28">
        <f>'Raw OI Data'!E19-'Raw OI Data'!F19</f>
        <v/>
      </c>
      <c r="W12" s="28">
        <f>'Raw OI Data'!E20-'Raw OI Data'!F20</f>
        <v/>
      </c>
      <c r="X12" s="28">
        <f>'Raw OI Data'!E21-'Raw OI Data'!F21</f>
        <v/>
      </c>
      <c r="Y12" s="28">
        <f>'Raw OI Data'!E22-'Raw OI Data'!F22</f>
        <v/>
      </c>
      <c r="Z12" s="26" t="n"/>
    </row>
    <row r="13" ht="14" customHeight="1">
      <c r="A13" s="25" t="inlineStr">
        <is>
          <t>L/S Ratio</t>
        </is>
      </c>
      <c r="B13" s="29">
        <f>IFERROR('Raw OI Data'!E3/'Raw OI Data'!F3,0)</f>
        <v/>
      </c>
      <c r="C13" s="29">
        <f>IFERROR('Raw OI Data'!E4/'Raw OI Data'!F4,0)</f>
        <v/>
      </c>
      <c r="D13" s="29">
        <f>IFERROR('Raw OI Data'!E5/'Raw OI Data'!F5,0)</f>
        <v/>
      </c>
      <c r="E13" s="29">
        <f>IFERROR('Raw OI Data'!E6/'Raw OI Data'!F6,0)</f>
        <v/>
      </c>
      <c r="F13" s="27" t="n"/>
      <c r="G13" s="29">
        <f>IFERROR('Raw OI Data'!E7/'Raw OI Data'!F7,0)</f>
        <v/>
      </c>
      <c r="H13" s="29">
        <f>IFERROR('Raw OI Data'!E8/'Raw OI Data'!F8,0)</f>
        <v/>
      </c>
      <c r="I13" s="29">
        <f>IFERROR('Raw OI Data'!E9/'Raw OI Data'!F9,0)</f>
        <v/>
      </c>
      <c r="J13" s="29">
        <f>IFERROR('Raw OI Data'!E10/'Raw OI Data'!F10,0)</f>
        <v/>
      </c>
      <c r="K13" s="27" t="n"/>
      <c r="L13" s="29">
        <f>IFERROR('Raw OI Data'!E11/'Raw OI Data'!F11,0)</f>
        <v/>
      </c>
      <c r="M13" s="29">
        <f>IFERROR('Raw OI Data'!E12/'Raw OI Data'!F12,0)</f>
        <v/>
      </c>
      <c r="N13" s="29">
        <f>IFERROR('Raw OI Data'!E13/'Raw OI Data'!F13,0)</f>
        <v/>
      </c>
      <c r="O13" s="29">
        <f>IFERROR('Raw OI Data'!E14/'Raw OI Data'!F14,0)</f>
        <v/>
      </c>
      <c r="P13" s="27" t="n"/>
      <c r="Q13" s="29">
        <f>IFERROR('Raw OI Data'!E15/'Raw OI Data'!F15,0)</f>
        <v/>
      </c>
      <c r="R13" s="29">
        <f>IFERROR('Raw OI Data'!E16/'Raw OI Data'!F16,0)</f>
        <v/>
      </c>
      <c r="S13" s="29">
        <f>IFERROR('Raw OI Data'!E17/'Raw OI Data'!F17,0)</f>
        <v/>
      </c>
      <c r="T13" s="29">
        <f>IFERROR('Raw OI Data'!E18/'Raw OI Data'!F18,0)</f>
        <v/>
      </c>
      <c r="U13" s="27" t="n"/>
      <c r="V13" s="29">
        <f>IFERROR('Raw OI Data'!E19/'Raw OI Data'!F19,0)</f>
        <v/>
      </c>
      <c r="W13" s="29">
        <f>IFERROR('Raw OI Data'!E20/'Raw OI Data'!F20,0)</f>
        <v/>
      </c>
      <c r="X13" s="29">
        <f>IFERROR('Raw OI Data'!E21/'Raw OI Data'!F21,0)</f>
        <v/>
      </c>
      <c r="Y13" s="29">
        <f>IFERROR('Raw OI Data'!E22/'Raw OI Data'!F22,0)</f>
        <v/>
      </c>
      <c r="Z13" s="27" t="n"/>
    </row>
    <row r="14" ht="16" customHeight="1">
      <c r="A14" s="14" t="inlineStr">
        <is>
          <t>OPTIONS — INDEX CALLS</t>
        </is>
      </c>
    </row>
    <row r="15" ht="14" customHeight="1">
      <c r="A15" s="25" t="inlineStr">
        <is>
          <t>Call Long OI</t>
        </is>
      </c>
      <c r="B15" s="4">
        <f>'Raw OI Data'!G3</f>
        <v/>
      </c>
      <c r="C15" s="4">
        <f>'Raw OI Data'!G4</f>
        <v/>
      </c>
      <c r="D15" s="4">
        <f>'Raw OI Data'!G5</f>
        <v/>
      </c>
      <c r="E15" s="4">
        <f>'Raw OI Data'!G6</f>
        <v/>
      </c>
      <c r="F15" s="26" t="n"/>
      <c r="G15" s="4">
        <f>'Raw OI Data'!G7</f>
        <v/>
      </c>
      <c r="H15" s="4">
        <f>'Raw OI Data'!G8</f>
        <v/>
      </c>
      <c r="I15" s="4">
        <f>'Raw OI Data'!G9</f>
        <v/>
      </c>
      <c r="J15" s="4">
        <f>'Raw OI Data'!G10</f>
        <v/>
      </c>
      <c r="K15" s="26" t="n"/>
      <c r="L15" s="4">
        <f>'Raw OI Data'!G11</f>
        <v/>
      </c>
      <c r="M15" s="4">
        <f>'Raw OI Data'!G12</f>
        <v/>
      </c>
      <c r="N15" s="4">
        <f>'Raw OI Data'!G13</f>
        <v/>
      </c>
      <c r="O15" s="4">
        <f>'Raw OI Data'!G14</f>
        <v/>
      </c>
      <c r="P15" s="26" t="n"/>
      <c r="Q15" s="4">
        <f>'Raw OI Data'!G15</f>
        <v/>
      </c>
      <c r="R15" s="4">
        <f>'Raw OI Data'!G16</f>
        <v/>
      </c>
      <c r="S15" s="4">
        <f>'Raw OI Data'!G17</f>
        <v/>
      </c>
      <c r="T15" s="4">
        <f>'Raw OI Data'!G18</f>
        <v/>
      </c>
      <c r="U15" s="26" t="n"/>
      <c r="V15" s="4">
        <f>'Raw OI Data'!G19</f>
        <v/>
      </c>
      <c r="W15" s="4">
        <f>'Raw OI Data'!G20</f>
        <v/>
      </c>
      <c r="X15" s="4">
        <f>'Raw OI Data'!G21</f>
        <v/>
      </c>
      <c r="Y15" s="4">
        <f>'Raw OI Data'!G22</f>
        <v/>
      </c>
      <c r="Z15" s="26" t="n"/>
    </row>
    <row r="16" ht="14" customHeight="1">
      <c r="A16" s="25" t="inlineStr">
        <is>
          <t>Call Short OI</t>
        </is>
      </c>
      <c r="B16" s="6">
        <f>'Raw OI Data'!I3</f>
        <v/>
      </c>
      <c r="C16" s="6">
        <f>'Raw OI Data'!I4</f>
        <v/>
      </c>
      <c r="D16" s="6">
        <f>'Raw OI Data'!I5</f>
        <v/>
      </c>
      <c r="E16" s="6">
        <f>'Raw OI Data'!I6</f>
        <v/>
      </c>
      <c r="F16" s="27" t="n"/>
      <c r="G16" s="6">
        <f>'Raw OI Data'!I7</f>
        <v/>
      </c>
      <c r="H16" s="6">
        <f>'Raw OI Data'!I8</f>
        <v/>
      </c>
      <c r="I16" s="6">
        <f>'Raw OI Data'!I9</f>
        <v/>
      </c>
      <c r="J16" s="6">
        <f>'Raw OI Data'!I10</f>
        <v/>
      </c>
      <c r="K16" s="27" t="n"/>
      <c r="L16" s="6">
        <f>'Raw OI Data'!I11</f>
        <v/>
      </c>
      <c r="M16" s="6">
        <f>'Raw OI Data'!I12</f>
        <v/>
      </c>
      <c r="N16" s="6">
        <f>'Raw OI Data'!I13</f>
        <v/>
      </c>
      <c r="O16" s="6">
        <f>'Raw OI Data'!I14</f>
        <v/>
      </c>
      <c r="P16" s="27" t="n"/>
      <c r="Q16" s="6">
        <f>'Raw OI Data'!I15</f>
        <v/>
      </c>
      <c r="R16" s="6">
        <f>'Raw OI Data'!I16</f>
        <v/>
      </c>
      <c r="S16" s="6">
        <f>'Raw OI Data'!I17</f>
        <v/>
      </c>
      <c r="T16" s="6">
        <f>'Raw OI Data'!I18</f>
        <v/>
      </c>
      <c r="U16" s="27" t="n"/>
      <c r="V16" s="6">
        <f>'Raw OI Data'!I19</f>
        <v/>
      </c>
      <c r="W16" s="6">
        <f>'Raw OI Data'!I20</f>
        <v/>
      </c>
      <c r="X16" s="6">
        <f>'Raw OI Data'!I21</f>
        <v/>
      </c>
      <c r="Y16" s="6">
        <f>'Raw OI Data'!I22</f>
        <v/>
      </c>
      <c r="Z16" s="27" t="n"/>
    </row>
    <row r="17" ht="14" customHeight="1">
      <c r="A17" s="25" t="inlineStr">
        <is>
          <t>Net Call OI</t>
        </is>
      </c>
      <c r="B17" s="28">
        <f>'Raw OI Data'!G3-'Raw OI Data'!I3</f>
        <v/>
      </c>
      <c r="C17" s="28">
        <f>'Raw OI Data'!G4-'Raw OI Data'!I4</f>
        <v/>
      </c>
      <c r="D17" s="28">
        <f>'Raw OI Data'!G5-'Raw OI Data'!I5</f>
        <v/>
      </c>
      <c r="E17" s="28">
        <f>'Raw OI Data'!G6-'Raw OI Data'!I6</f>
        <v/>
      </c>
      <c r="F17" s="26" t="n"/>
      <c r="G17" s="28">
        <f>'Raw OI Data'!G7-'Raw OI Data'!I7</f>
        <v/>
      </c>
      <c r="H17" s="28">
        <f>'Raw OI Data'!G8-'Raw OI Data'!I8</f>
        <v/>
      </c>
      <c r="I17" s="28">
        <f>'Raw OI Data'!G9-'Raw OI Data'!I9</f>
        <v/>
      </c>
      <c r="J17" s="28">
        <f>'Raw OI Data'!G10-'Raw OI Data'!I10</f>
        <v/>
      </c>
      <c r="K17" s="26" t="n"/>
      <c r="L17" s="28">
        <f>'Raw OI Data'!G11-'Raw OI Data'!I11</f>
        <v/>
      </c>
      <c r="M17" s="28">
        <f>'Raw OI Data'!G12-'Raw OI Data'!I12</f>
        <v/>
      </c>
      <c r="N17" s="28">
        <f>'Raw OI Data'!G13-'Raw OI Data'!I13</f>
        <v/>
      </c>
      <c r="O17" s="28">
        <f>'Raw OI Data'!G14-'Raw OI Data'!I14</f>
        <v/>
      </c>
      <c r="P17" s="26" t="n"/>
      <c r="Q17" s="28">
        <f>'Raw OI Data'!G15-'Raw OI Data'!I15</f>
        <v/>
      </c>
      <c r="R17" s="28">
        <f>'Raw OI Data'!G16-'Raw OI Data'!I16</f>
        <v/>
      </c>
      <c r="S17" s="28">
        <f>'Raw OI Data'!G17-'Raw OI Data'!I17</f>
        <v/>
      </c>
      <c r="T17" s="28">
        <f>'Raw OI Data'!G18-'Raw OI Data'!I18</f>
        <v/>
      </c>
      <c r="U17" s="26" t="n"/>
      <c r="V17" s="28">
        <f>'Raw OI Data'!G19-'Raw OI Data'!I19</f>
        <v/>
      </c>
      <c r="W17" s="28">
        <f>'Raw OI Data'!G20-'Raw OI Data'!I20</f>
        <v/>
      </c>
      <c r="X17" s="28">
        <f>'Raw OI Data'!G21-'Raw OI Data'!I21</f>
        <v/>
      </c>
      <c r="Y17" s="28">
        <f>'Raw OI Data'!G22-'Raw OI Data'!I22</f>
        <v/>
      </c>
      <c r="Z17" s="26" t="n"/>
    </row>
    <row r="18" ht="16" customHeight="1">
      <c r="A18" s="14" t="inlineStr">
        <is>
          <t>OPTIONS — INDEX PUTS</t>
        </is>
      </c>
    </row>
    <row r="19" ht="14" customHeight="1">
      <c r="A19" s="25" t="inlineStr">
        <is>
          <t>Put Long OI</t>
        </is>
      </c>
      <c r="B19" s="4">
        <f>'Raw OI Data'!H3</f>
        <v/>
      </c>
      <c r="C19" s="4">
        <f>'Raw OI Data'!H4</f>
        <v/>
      </c>
      <c r="D19" s="4">
        <f>'Raw OI Data'!H5</f>
        <v/>
      </c>
      <c r="E19" s="4">
        <f>'Raw OI Data'!H6</f>
        <v/>
      </c>
      <c r="F19" s="26" t="n"/>
      <c r="G19" s="4">
        <f>'Raw OI Data'!H7</f>
        <v/>
      </c>
      <c r="H19" s="4">
        <f>'Raw OI Data'!H8</f>
        <v/>
      </c>
      <c r="I19" s="4">
        <f>'Raw OI Data'!H9</f>
        <v/>
      </c>
      <c r="J19" s="4">
        <f>'Raw OI Data'!H10</f>
        <v/>
      </c>
      <c r="K19" s="26" t="n"/>
      <c r="L19" s="4">
        <f>'Raw OI Data'!H11</f>
        <v/>
      </c>
      <c r="M19" s="4">
        <f>'Raw OI Data'!H12</f>
        <v/>
      </c>
      <c r="N19" s="4">
        <f>'Raw OI Data'!H13</f>
        <v/>
      </c>
      <c r="O19" s="4">
        <f>'Raw OI Data'!H14</f>
        <v/>
      </c>
      <c r="P19" s="26" t="n"/>
      <c r="Q19" s="4">
        <f>'Raw OI Data'!H15</f>
        <v/>
      </c>
      <c r="R19" s="4">
        <f>'Raw OI Data'!H16</f>
        <v/>
      </c>
      <c r="S19" s="4">
        <f>'Raw OI Data'!H17</f>
        <v/>
      </c>
      <c r="T19" s="4">
        <f>'Raw OI Data'!H18</f>
        <v/>
      </c>
      <c r="U19" s="26" t="n"/>
      <c r="V19" s="4">
        <f>'Raw OI Data'!H19</f>
        <v/>
      </c>
      <c r="W19" s="4">
        <f>'Raw OI Data'!H20</f>
        <v/>
      </c>
      <c r="X19" s="4">
        <f>'Raw OI Data'!H21</f>
        <v/>
      </c>
      <c r="Y19" s="4">
        <f>'Raw OI Data'!H22</f>
        <v/>
      </c>
      <c r="Z19" s="26" t="n"/>
    </row>
    <row r="20" ht="14" customHeight="1">
      <c r="A20" s="25" t="inlineStr">
        <is>
          <t>Put Short OI</t>
        </is>
      </c>
      <c r="B20" s="6">
        <f>'Raw OI Data'!J3</f>
        <v/>
      </c>
      <c r="C20" s="6">
        <f>'Raw OI Data'!J4</f>
        <v/>
      </c>
      <c r="D20" s="6">
        <f>'Raw OI Data'!J5</f>
        <v/>
      </c>
      <c r="E20" s="6">
        <f>'Raw OI Data'!J6</f>
        <v/>
      </c>
      <c r="F20" s="27" t="n"/>
      <c r="G20" s="6">
        <f>'Raw OI Data'!J7</f>
        <v/>
      </c>
      <c r="H20" s="6">
        <f>'Raw OI Data'!J8</f>
        <v/>
      </c>
      <c r="I20" s="6">
        <f>'Raw OI Data'!J9</f>
        <v/>
      </c>
      <c r="J20" s="6">
        <f>'Raw OI Data'!J10</f>
        <v/>
      </c>
      <c r="K20" s="27" t="n"/>
      <c r="L20" s="6">
        <f>'Raw OI Data'!J11</f>
        <v/>
      </c>
      <c r="M20" s="6">
        <f>'Raw OI Data'!J12</f>
        <v/>
      </c>
      <c r="N20" s="6">
        <f>'Raw OI Data'!J13</f>
        <v/>
      </c>
      <c r="O20" s="6">
        <f>'Raw OI Data'!J14</f>
        <v/>
      </c>
      <c r="P20" s="27" t="n"/>
      <c r="Q20" s="6">
        <f>'Raw OI Data'!J15</f>
        <v/>
      </c>
      <c r="R20" s="6">
        <f>'Raw OI Data'!J16</f>
        <v/>
      </c>
      <c r="S20" s="6">
        <f>'Raw OI Data'!J17</f>
        <v/>
      </c>
      <c r="T20" s="6">
        <f>'Raw OI Data'!J18</f>
        <v/>
      </c>
      <c r="U20" s="27" t="n"/>
      <c r="V20" s="6">
        <f>'Raw OI Data'!J19</f>
        <v/>
      </c>
      <c r="W20" s="6">
        <f>'Raw OI Data'!J20</f>
        <v/>
      </c>
      <c r="X20" s="6">
        <f>'Raw OI Data'!J21</f>
        <v/>
      </c>
      <c r="Y20" s="6">
        <f>'Raw OI Data'!J22</f>
        <v/>
      </c>
      <c r="Z20" s="27" t="n"/>
    </row>
    <row r="21" ht="14" customHeight="1">
      <c r="A21" s="25" t="inlineStr">
        <is>
          <t>Net Put OI</t>
        </is>
      </c>
      <c r="B21" s="28">
        <f>'Raw OI Data'!H3-'Raw OI Data'!J3</f>
        <v/>
      </c>
      <c r="C21" s="28">
        <f>'Raw OI Data'!H4-'Raw OI Data'!J4</f>
        <v/>
      </c>
      <c r="D21" s="28">
        <f>'Raw OI Data'!H5-'Raw OI Data'!J5</f>
        <v/>
      </c>
      <c r="E21" s="28">
        <f>'Raw OI Data'!H6-'Raw OI Data'!J6</f>
        <v/>
      </c>
      <c r="F21" s="26" t="n"/>
      <c r="G21" s="28">
        <f>'Raw OI Data'!H7-'Raw OI Data'!J7</f>
        <v/>
      </c>
      <c r="H21" s="28">
        <f>'Raw OI Data'!H8-'Raw OI Data'!J8</f>
        <v/>
      </c>
      <c r="I21" s="28">
        <f>'Raw OI Data'!H9-'Raw OI Data'!J9</f>
        <v/>
      </c>
      <c r="J21" s="28">
        <f>'Raw OI Data'!H10-'Raw OI Data'!J10</f>
        <v/>
      </c>
      <c r="K21" s="26" t="n"/>
      <c r="L21" s="28">
        <f>'Raw OI Data'!H11-'Raw OI Data'!J11</f>
        <v/>
      </c>
      <c r="M21" s="28">
        <f>'Raw OI Data'!H12-'Raw OI Data'!J12</f>
        <v/>
      </c>
      <c r="N21" s="28">
        <f>'Raw OI Data'!H13-'Raw OI Data'!J13</f>
        <v/>
      </c>
      <c r="O21" s="28">
        <f>'Raw OI Data'!H14-'Raw OI Data'!J14</f>
        <v/>
      </c>
      <c r="P21" s="26" t="n"/>
      <c r="Q21" s="28">
        <f>'Raw OI Data'!H15-'Raw OI Data'!J15</f>
        <v/>
      </c>
      <c r="R21" s="28">
        <f>'Raw OI Data'!H16-'Raw OI Data'!J16</f>
        <v/>
      </c>
      <c r="S21" s="28">
        <f>'Raw OI Data'!H17-'Raw OI Data'!J17</f>
        <v/>
      </c>
      <c r="T21" s="28">
        <f>'Raw OI Data'!H18-'Raw OI Data'!J18</f>
        <v/>
      </c>
      <c r="U21" s="26" t="n"/>
      <c r="V21" s="28">
        <f>'Raw OI Data'!H19-'Raw OI Data'!J19</f>
        <v/>
      </c>
      <c r="W21" s="28">
        <f>'Raw OI Data'!H20-'Raw OI Data'!J20</f>
        <v/>
      </c>
      <c r="X21" s="28">
        <f>'Raw OI Data'!H21-'Raw OI Data'!J21</f>
        <v/>
      </c>
      <c r="Y21" s="28">
        <f>'Raw OI Data'!H22-'Raw OI Data'!J22</f>
        <v/>
      </c>
      <c r="Z21" s="26" t="n"/>
    </row>
    <row r="22" ht="16" customHeight="1">
      <c r="A22" s="14" t="inlineStr">
        <is>
          <t>OPTIONS — STOCK CALLS</t>
        </is>
      </c>
    </row>
    <row r="23" ht="14" customHeight="1">
      <c r="A23" s="25" t="inlineStr">
        <is>
          <t>Call Long OI</t>
        </is>
      </c>
      <c r="B23" s="4">
        <f>'Raw OI Data'!K3</f>
        <v/>
      </c>
      <c r="C23" s="4">
        <f>'Raw OI Data'!K4</f>
        <v/>
      </c>
      <c r="D23" s="4">
        <f>'Raw OI Data'!K5</f>
        <v/>
      </c>
      <c r="E23" s="4">
        <f>'Raw OI Data'!K6</f>
        <v/>
      </c>
      <c r="F23" s="26" t="n"/>
      <c r="G23" s="4">
        <f>'Raw OI Data'!K7</f>
        <v/>
      </c>
      <c r="H23" s="4">
        <f>'Raw OI Data'!K8</f>
        <v/>
      </c>
      <c r="I23" s="4">
        <f>'Raw OI Data'!K9</f>
        <v/>
      </c>
      <c r="J23" s="4">
        <f>'Raw OI Data'!K10</f>
        <v/>
      </c>
      <c r="K23" s="26" t="n"/>
      <c r="L23" s="4">
        <f>'Raw OI Data'!K11</f>
        <v/>
      </c>
      <c r="M23" s="4">
        <f>'Raw OI Data'!K12</f>
        <v/>
      </c>
      <c r="N23" s="4">
        <f>'Raw OI Data'!K13</f>
        <v/>
      </c>
      <c r="O23" s="4">
        <f>'Raw OI Data'!K14</f>
        <v/>
      </c>
      <c r="P23" s="26" t="n"/>
      <c r="Q23" s="4">
        <f>'Raw OI Data'!K15</f>
        <v/>
      </c>
      <c r="R23" s="4">
        <f>'Raw OI Data'!K16</f>
        <v/>
      </c>
      <c r="S23" s="4">
        <f>'Raw OI Data'!K17</f>
        <v/>
      </c>
      <c r="T23" s="4">
        <f>'Raw OI Data'!K18</f>
        <v/>
      </c>
      <c r="U23" s="26" t="n"/>
      <c r="V23" s="4">
        <f>'Raw OI Data'!K19</f>
        <v/>
      </c>
      <c r="W23" s="4">
        <f>'Raw OI Data'!K20</f>
        <v/>
      </c>
      <c r="X23" s="4">
        <f>'Raw OI Data'!K21</f>
        <v/>
      </c>
      <c r="Y23" s="4">
        <f>'Raw OI Data'!K22</f>
        <v/>
      </c>
      <c r="Z23" s="26" t="n"/>
    </row>
    <row r="24" ht="14" customHeight="1">
      <c r="A24" s="25" t="inlineStr">
        <is>
          <t>Call Short OI</t>
        </is>
      </c>
      <c r="B24" s="6">
        <f>'Raw OI Data'!M3</f>
        <v/>
      </c>
      <c r="C24" s="6">
        <f>'Raw OI Data'!M4</f>
        <v/>
      </c>
      <c r="D24" s="6">
        <f>'Raw OI Data'!M5</f>
        <v/>
      </c>
      <c r="E24" s="6">
        <f>'Raw OI Data'!M6</f>
        <v/>
      </c>
      <c r="F24" s="27" t="n"/>
      <c r="G24" s="6">
        <f>'Raw OI Data'!M7</f>
        <v/>
      </c>
      <c r="H24" s="6">
        <f>'Raw OI Data'!M8</f>
        <v/>
      </c>
      <c r="I24" s="6">
        <f>'Raw OI Data'!M9</f>
        <v/>
      </c>
      <c r="J24" s="6">
        <f>'Raw OI Data'!M10</f>
        <v/>
      </c>
      <c r="K24" s="27" t="n"/>
      <c r="L24" s="6">
        <f>'Raw OI Data'!M11</f>
        <v/>
      </c>
      <c r="M24" s="6">
        <f>'Raw OI Data'!M12</f>
        <v/>
      </c>
      <c r="N24" s="6">
        <f>'Raw OI Data'!M13</f>
        <v/>
      </c>
      <c r="O24" s="6">
        <f>'Raw OI Data'!M14</f>
        <v/>
      </c>
      <c r="P24" s="27" t="n"/>
      <c r="Q24" s="6">
        <f>'Raw OI Data'!M15</f>
        <v/>
      </c>
      <c r="R24" s="6">
        <f>'Raw OI Data'!M16</f>
        <v/>
      </c>
      <c r="S24" s="6">
        <f>'Raw OI Data'!M17</f>
        <v/>
      </c>
      <c r="T24" s="6">
        <f>'Raw OI Data'!M18</f>
        <v/>
      </c>
      <c r="U24" s="27" t="n"/>
      <c r="V24" s="6">
        <f>'Raw OI Data'!M19</f>
        <v/>
      </c>
      <c r="W24" s="6">
        <f>'Raw OI Data'!M20</f>
        <v/>
      </c>
      <c r="X24" s="6">
        <f>'Raw OI Data'!M21</f>
        <v/>
      </c>
      <c r="Y24" s="6">
        <f>'Raw OI Data'!M22</f>
        <v/>
      </c>
      <c r="Z24" s="27" t="n"/>
    </row>
    <row r="25" ht="14" customHeight="1">
      <c r="A25" s="25" t="inlineStr">
        <is>
          <t>Net Call OI</t>
        </is>
      </c>
      <c r="B25" s="28">
        <f>'Raw OI Data'!K3-'Raw OI Data'!M3</f>
        <v/>
      </c>
      <c r="C25" s="28">
        <f>'Raw OI Data'!K4-'Raw OI Data'!M4</f>
        <v/>
      </c>
      <c r="D25" s="28">
        <f>'Raw OI Data'!K5-'Raw OI Data'!M5</f>
        <v/>
      </c>
      <c r="E25" s="28">
        <f>'Raw OI Data'!K6-'Raw OI Data'!M6</f>
        <v/>
      </c>
      <c r="F25" s="26" t="n"/>
      <c r="G25" s="28">
        <f>'Raw OI Data'!K7-'Raw OI Data'!M7</f>
        <v/>
      </c>
      <c r="H25" s="28">
        <f>'Raw OI Data'!K8-'Raw OI Data'!M8</f>
        <v/>
      </c>
      <c r="I25" s="28">
        <f>'Raw OI Data'!K9-'Raw OI Data'!M9</f>
        <v/>
      </c>
      <c r="J25" s="28">
        <f>'Raw OI Data'!K10-'Raw OI Data'!M10</f>
        <v/>
      </c>
      <c r="K25" s="26" t="n"/>
      <c r="L25" s="28">
        <f>'Raw OI Data'!K11-'Raw OI Data'!M11</f>
        <v/>
      </c>
      <c r="M25" s="28">
        <f>'Raw OI Data'!K12-'Raw OI Data'!M12</f>
        <v/>
      </c>
      <c r="N25" s="28">
        <f>'Raw OI Data'!K13-'Raw OI Data'!M13</f>
        <v/>
      </c>
      <c r="O25" s="28">
        <f>'Raw OI Data'!K14-'Raw OI Data'!M14</f>
        <v/>
      </c>
      <c r="P25" s="26" t="n"/>
      <c r="Q25" s="28">
        <f>'Raw OI Data'!K15-'Raw OI Data'!M15</f>
        <v/>
      </c>
      <c r="R25" s="28">
        <f>'Raw OI Data'!K16-'Raw OI Data'!M16</f>
        <v/>
      </c>
      <c r="S25" s="28">
        <f>'Raw OI Data'!K17-'Raw OI Data'!M17</f>
        <v/>
      </c>
      <c r="T25" s="28">
        <f>'Raw OI Data'!K18-'Raw OI Data'!M18</f>
        <v/>
      </c>
      <c r="U25" s="26" t="n"/>
      <c r="V25" s="28">
        <f>'Raw OI Data'!K19-'Raw OI Data'!M19</f>
        <v/>
      </c>
      <c r="W25" s="28">
        <f>'Raw OI Data'!K20-'Raw OI Data'!M20</f>
        <v/>
      </c>
      <c r="X25" s="28">
        <f>'Raw OI Data'!K21-'Raw OI Data'!M21</f>
        <v/>
      </c>
      <c r="Y25" s="28">
        <f>'Raw OI Data'!K22-'Raw OI Data'!M22</f>
        <v/>
      </c>
      <c r="Z25" s="26" t="n"/>
    </row>
    <row r="26" ht="16" customHeight="1">
      <c r="A26" s="14" t="inlineStr">
        <is>
          <t>OPTIONS — STOCK PUTS</t>
        </is>
      </c>
    </row>
    <row r="27" ht="14" customHeight="1">
      <c r="A27" s="25" t="inlineStr">
        <is>
          <t>Put Long OI</t>
        </is>
      </c>
      <c r="B27" s="4">
        <f>'Raw OI Data'!L3</f>
        <v/>
      </c>
      <c r="C27" s="4">
        <f>'Raw OI Data'!L4</f>
        <v/>
      </c>
      <c r="D27" s="4">
        <f>'Raw OI Data'!L5</f>
        <v/>
      </c>
      <c r="E27" s="4">
        <f>'Raw OI Data'!L6</f>
        <v/>
      </c>
      <c r="F27" s="26" t="n"/>
      <c r="G27" s="4">
        <f>'Raw OI Data'!L7</f>
        <v/>
      </c>
      <c r="H27" s="4">
        <f>'Raw OI Data'!L8</f>
        <v/>
      </c>
      <c r="I27" s="4">
        <f>'Raw OI Data'!L9</f>
        <v/>
      </c>
      <c r="J27" s="4">
        <f>'Raw OI Data'!L10</f>
        <v/>
      </c>
      <c r="K27" s="26" t="n"/>
      <c r="L27" s="4">
        <f>'Raw OI Data'!L11</f>
        <v/>
      </c>
      <c r="M27" s="4">
        <f>'Raw OI Data'!L12</f>
        <v/>
      </c>
      <c r="N27" s="4">
        <f>'Raw OI Data'!L13</f>
        <v/>
      </c>
      <c r="O27" s="4">
        <f>'Raw OI Data'!L14</f>
        <v/>
      </c>
      <c r="P27" s="26" t="n"/>
      <c r="Q27" s="4">
        <f>'Raw OI Data'!L15</f>
        <v/>
      </c>
      <c r="R27" s="4">
        <f>'Raw OI Data'!L16</f>
        <v/>
      </c>
      <c r="S27" s="4">
        <f>'Raw OI Data'!L17</f>
        <v/>
      </c>
      <c r="T27" s="4">
        <f>'Raw OI Data'!L18</f>
        <v/>
      </c>
      <c r="U27" s="26" t="n"/>
      <c r="V27" s="4">
        <f>'Raw OI Data'!L19</f>
        <v/>
      </c>
      <c r="W27" s="4">
        <f>'Raw OI Data'!L20</f>
        <v/>
      </c>
      <c r="X27" s="4">
        <f>'Raw OI Data'!L21</f>
        <v/>
      </c>
      <c r="Y27" s="4">
        <f>'Raw OI Data'!L22</f>
        <v/>
      </c>
      <c r="Z27" s="26" t="n"/>
    </row>
    <row r="28" ht="14" customHeight="1">
      <c r="A28" s="25" t="inlineStr">
        <is>
          <t>Put Short OI</t>
        </is>
      </c>
      <c r="B28" s="6">
        <f>'Raw OI Data'!N3</f>
        <v/>
      </c>
      <c r="C28" s="6">
        <f>'Raw OI Data'!N4</f>
        <v/>
      </c>
      <c r="D28" s="6">
        <f>'Raw OI Data'!N5</f>
        <v/>
      </c>
      <c r="E28" s="6">
        <f>'Raw OI Data'!N6</f>
        <v/>
      </c>
      <c r="F28" s="27" t="n"/>
      <c r="G28" s="6">
        <f>'Raw OI Data'!N7</f>
        <v/>
      </c>
      <c r="H28" s="6">
        <f>'Raw OI Data'!N8</f>
        <v/>
      </c>
      <c r="I28" s="6">
        <f>'Raw OI Data'!N9</f>
        <v/>
      </c>
      <c r="J28" s="6">
        <f>'Raw OI Data'!N10</f>
        <v/>
      </c>
      <c r="K28" s="27" t="n"/>
      <c r="L28" s="6">
        <f>'Raw OI Data'!N11</f>
        <v/>
      </c>
      <c r="M28" s="6">
        <f>'Raw OI Data'!N12</f>
        <v/>
      </c>
      <c r="N28" s="6">
        <f>'Raw OI Data'!N13</f>
        <v/>
      </c>
      <c r="O28" s="6">
        <f>'Raw OI Data'!N14</f>
        <v/>
      </c>
      <c r="P28" s="27" t="n"/>
      <c r="Q28" s="6">
        <f>'Raw OI Data'!N15</f>
        <v/>
      </c>
      <c r="R28" s="6">
        <f>'Raw OI Data'!N16</f>
        <v/>
      </c>
      <c r="S28" s="6">
        <f>'Raw OI Data'!N17</f>
        <v/>
      </c>
      <c r="T28" s="6">
        <f>'Raw OI Data'!N18</f>
        <v/>
      </c>
      <c r="U28" s="27" t="n"/>
      <c r="V28" s="6">
        <f>'Raw OI Data'!N19</f>
        <v/>
      </c>
      <c r="W28" s="6">
        <f>'Raw OI Data'!N20</f>
        <v/>
      </c>
      <c r="X28" s="6">
        <f>'Raw OI Data'!N21</f>
        <v/>
      </c>
      <c r="Y28" s="6">
        <f>'Raw OI Data'!N22</f>
        <v/>
      </c>
      <c r="Z28" s="27" t="n"/>
    </row>
    <row r="29" ht="14" customHeight="1">
      <c r="A29" s="25" t="inlineStr">
        <is>
          <t>Net Put OI</t>
        </is>
      </c>
      <c r="B29" s="28">
        <f>'Raw OI Data'!L3-'Raw OI Data'!N3</f>
        <v/>
      </c>
      <c r="C29" s="28">
        <f>'Raw OI Data'!L4-'Raw OI Data'!N4</f>
        <v/>
      </c>
      <c r="D29" s="28">
        <f>'Raw OI Data'!L5-'Raw OI Data'!N5</f>
        <v/>
      </c>
      <c r="E29" s="28">
        <f>'Raw OI Data'!L6-'Raw OI Data'!N6</f>
        <v/>
      </c>
      <c r="F29" s="26" t="n"/>
      <c r="G29" s="28">
        <f>'Raw OI Data'!L7-'Raw OI Data'!N7</f>
        <v/>
      </c>
      <c r="H29" s="28">
        <f>'Raw OI Data'!L8-'Raw OI Data'!N8</f>
        <v/>
      </c>
      <c r="I29" s="28">
        <f>'Raw OI Data'!L9-'Raw OI Data'!N9</f>
        <v/>
      </c>
      <c r="J29" s="28">
        <f>'Raw OI Data'!L10-'Raw OI Data'!N10</f>
        <v/>
      </c>
      <c r="K29" s="26" t="n"/>
      <c r="L29" s="28">
        <f>'Raw OI Data'!L11-'Raw OI Data'!N11</f>
        <v/>
      </c>
      <c r="M29" s="28">
        <f>'Raw OI Data'!L12-'Raw OI Data'!N12</f>
        <v/>
      </c>
      <c r="N29" s="28">
        <f>'Raw OI Data'!L13-'Raw OI Data'!N13</f>
        <v/>
      </c>
      <c r="O29" s="28">
        <f>'Raw OI Data'!L14-'Raw OI Data'!N14</f>
        <v/>
      </c>
      <c r="P29" s="26" t="n"/>
      <c r="Q29" s="28">
        <f>'Raw OI Data'!L15-'Raw OI Data'!N15</f>
        <v/>
      </c>
      <c r="R29" s="28">
        <f>'Raw OI Data'!L16-'Raw OI Data'!N16</f>
        <v/>
      </c>
      <c r="S29" s="28">
        <f>'Raw OI Data'!L17-'Raw OI Data'!N17</f>
        <v/>
      </c>
      <c r="T29" s="28">
        <f>'Raw OI Data'!L18-'Raw OI Data'!N18</f>
        <v/>
      </c>
      <c r="U29" s="26" t="n"/>
      <c r="V29" s="28">
        <f>'Raw OI Data'!L19-'Raw OI Data'!N19</f>
        <v/>
      </c>
      <c r="W29" s="28">
        <f>'Raw OI Data'!L20-'Raw OI Data'!N20</f>
        <v/>
      </c>
      <c r="X29" s="28">
        <f>'Raw OI Data'!L21-'Raw OI Data'!N21</f>
        <v/>
      </c>
      <c r="Y29" s="28">
        <f>'Raw OI Data'!L22-'Raw OI Data'!N22</f>
        <v/>
      </c>
      <c r="Z29" s="26" t="n"/>
    </row>
    <row r="30" ht="16" customHeight="1">
      <c r="A30" s="14" t="inlineStr">
        <is>
          <t>TOTAL POSITION</t>
        </is>
      </c>
    </row>
    <row r="31" ht="14" customHeight="1">
      <c r="A31" s="25" t="inlineStr">
        <is>
          <t>Total Long</t>
        </is>
      </c>
      <c r="B31" s="4">
        <f>'Raw OI Data'!O3</f>
        <v/>
      </c>
      <c r="C31" s="4">
        <f>'Raw OI Data'!O4</f>
        <v/>
      </c>
      <c r="D31" s="4">
        <f>'Raw OI Data'!O5</f>
        <v/>
      </c>
      <c r="E31" s="4">
        <f>'Raw OI Data'!O6</f>
        <v/>
      </c>
      <c r="F31" s="26" t="n"/>
      <c r="G31" s="4">
        <f>'Raw OI Data'!O7</f>
        <v/>
      </c>
      <c r="H31" s="4">
        <f>'Raw OI Data'!O8</f>
        <v/>
      </c>
      <c r="I31" s="4">
        <f>'Raw OI Data'!O9</f>
        <v/>
      </c>
      <c r="J31" s="4">
        <f>'Raw OI Data'!O10</f>
        <v/>
      </c>
      <c r="K31" s="26" t="n"/>
      <c r="L31" s="4">
        <f>'Raw OI Data'!O11</f>
        <v/>
      </c>
      <c r="M31" s="4">
        <f>'Raw OI Data'!O12</f>
        <v/>
      </c>
      <c r="N31" s="4">
        <f>'Raw OI Data'!O13</f>
        <v/>
      </c>
      <c r="O31" s="4">
        <f>'Raw OI Data'!O14</f>
        <v/>
      </c>
      <c r="P31" s="26" t="n"/>
      <c r="Q31" s="4">
        <f>'Raw OI Data'!O15</f>
        <v/>
      </c>
      <c r="R31" s="4">
        <f>'Raw OI Data'!O16</f>
        <v/>
      </c>
      <c r="S31" s="4">
        <f>'Raw OI Data'!O17</f>
        <v/>
      </c>
      <c r="T31" s="4">
        <f>'Raw OI Data'!O18</f>
        <v/>
      </c>
      <c r="U31" s="26" t="n"/>
      <c r="V31" s="4">
        <f>'Raw OI Data'!O19</f>
        <v/>
      </c>
      <c r="W31" s="4">
        <f>'Raw OI Data'!O20</f>
        <v/>
      </c>
      <c r="X31" s="4">
        <f>'Raw OI Data'!O21</f>
        <v/>
      </c>
      <c r="Y31" s="4">
        <f>'Raw OI Data'!O22</f>
        <v/>
      </c>
      <c r="Z31" s="26" t="n"/>
    </row>
    <row r="32" ht="14" customHeight="1">
      <c r="A32" s="25" t="inlineStr">
        <is>
          <t>Total Short</t>
        </is>
      </c>
      <c r="B32" s="6">
        <f>'Raw OI Data'!P3</f>
        <v/>
      </c>
      <c r="C32" s="6">
        <f>'Raw OI Data'!P4</f>
        <v/>
      </c>
      <c r="D32" s="6">
        <f>'Raw OI Data'!P5</f>
        <v/>
      </c>
      <c r="E32" s="6">
        <f>'Raw OI Data'!P6</f>
        <v/>
      </c>
      <c r="F32" s="27" t="n"/>
      <c r="G32" s="6">
        <f>'Raw OI Data'!P7</f>
        <v/>
      </c>
      <c r="H32" s="6">
        <f>'Raw OI Data'!P8</f>
        <v/>
      </c>
      <c r="I32" s="6">
        <f>'Raw OI Data'!P9</f>
        <v/>
      </c>
      <c r="J32" s="6">
        <f>'Raw OI Data'!P10</f>
        <v/>
      </c>
      <c r="K32" s="27" t="n"/>
      <c r="L32" s="6">
        <f>'Raw OI Data'!P11</f>
        <v/>
      </c>
      <c r="M32" s="6">
        <f>'Raw OI Data'!P12</f>
        <v/>
      </c>
      <c r="N32" s="6">
        <f>'Raw OI Data'!P13</f>
        <v/>
      </c>
      <c r="O32" s="6">
        <f>'Raw OI Data'!P14</f>
        <v/>
      </c>
      <c r="P32" s="27" t="n"/>
      <c r="Q32" s="6">
        <f>'Raw OI Data'!P15</f>
        <v/>
      </c>
      <c r="R32" s="6">
        <f>'Raw OI Data'!P16</f>
        <v/>
      </c>
      <c r="S32" s="6">
        <f>'Raw OI Data'!P17</f>
        <v/>
      </c>
      <c r="T32" s="6">
        <f>'Raw OI Data'!P18</f>
        <v/>
      </c>
      <c r="U32" s="27" t="n"/>
      <c r="V32" s="6">
        <f>'Raw OI Data'!P19</f>
        <v/>
      </c>
      <c r="W32" s="6">
        <f>'Raw OI Data'!P20</f>
        <v/>
      </c>
      <c r="X32" s="6">
        <f>'Raw OI Data'!P21</f>
        <v/>
      </c>
      <c r="Y32" s="6">
        <f>'Raw OI Data'!P22</f>
        <v/>
      </c>
      <c r="Z32" s="27" t="n"/>
    </row>
    <row r="33" ht="14" customHeight="1">
      <c r="A33" s="25" t="inlineStr">
        <is>
          <t>Net Total OI</t>
        </is>
      </c>
      <c r="B33" s="28">
        <f>'Raw OI Data'!O3-'Raw OI Data'!P3</f>
        <v/>
      </c>
      <c r="C33" s="28">
        <f>'Raw OI Data'!O4-'Raw OI Data'!P4</f>
        <v/>
      </c>
      <c r="D33" s="28">
        <f>'Raw OI Data'!O5-'Raw OI Data'!P5</f>
        <v/>
      </c>
      <c r="E33" s="28">
        <f>'Raw OI Data'!O6-'Raw OI Data'!P6</f>
        <v/>
      </c>
      <c r="F33" s="26" t="n"/>
      <c r="G33" s="28">
        <f>'Raw OI Data'!O7-'Raw OI Data'!P7</f>
        <v/>
      </c>
      <c r="H33" s="28">
        <f>'Raw OI Data'!O8-'Raw OI Data'!P8</f>
        <v/>
      </c>
      <c r="I33" s="28">
        <f>'Raw OI Data'!O9-'Raw OI Data'!P9</f>
        <v/>
      </c>
      <c r="J33" s="28">
        <f>'Raw OI Data'!O10-'Raw OI Data'!P10</f>
        <v/>
      </c>
      <c r="K33" s="26" t="n"/>
      <c r="L33" s="28">
        <f>'Raw OI Data'!O11-'Raw OI Data'!P11</f>
        <v/>
      </c>
      <c r="M33" s="28">
        <f>'Raw OI Data'!O12-'Raw OI Data'!P12</f>
        <v/>
      </c>
      <c r="N33" s="28">
        <f>'Raw OI Data'!O13-'Raw OI Data'!P13</f>
        <v/>
      </c>
      <c r="O33" s="28">
        <f>'Raw OI Data'!O14-'Raw OI Data'!P14</f>
        <v/>
      </c>
      <c r="P33" s="26" t="n"/>
      <c r="Q33" s="28">
        <f>'Raw OI Data'!O15-'Raw OI Data'!P15</f>
        <v/>
      </c>
      <c r="R33" s="28">
        <f>'Raw OI Data'!O16-'Raw OI Data'!P16</f>
        <v/>
      </c>
      <c r="S33" s="28">
        <f>'Raw OI Data'!O17-'Raw OI Data'!P17</f>
        <v/>
      </c>
      <c r="T33" s="28">
        <f>'Raw OI Data'!O18-'Raw OI Data'!P18</f>
        <v/>
      </c>
      <c r="U33" s="26" t="n"/>
      <c r="V33" s="28">
        <f>'Raw OI Data'!O19-'Raw OI Data'!P19</f>
        <v/>
      </c>
      <c r="W33" s="28">
        <f>'Raw OI Data'!O20-'Raw OI Data'!P20</f>
        <v/>
      </c>
      <c r="X33" s="28">
        <f>'Raw OI Data'!O21-'Raw OI Data'!P21</f>
        <v/>
      </c>
      <c r="Y33" s="28">
        <f>'Raw OI Data'!O22-'Raw OI Data'!P22</f>
        <v/>
      </c>
      <c r="Z33" s="26" t="n"/>
    </row>
    <row r="34" ht="14" customHeight="1">
      <c r="A34" s="25" t="inlineStr">
        <is>
          <t>L/S Ratio</t>
        </is>
      </c>
      <c r="B34" s="29">
        <f>IFERROR('Raw OI Data'!O3/'Raw OI Data'!P3,0)</f>
        <v/>
      </c>
      <c r="C34" s="29">
        <f>IFERROR('Raw OI Data'!O4/'Raw OI Data'!P4,0)</f>
        <v/>
      </c>
      <c r="D34" s="29">
        <f>IFERROR('Raw OI Data'!O5/'Raw OI Data'!P5,0)</f>
        <v/>
      </c>
      <c r="E34" s="29">
        <f>IFERROR('Raw OI Data'!O6/'Raw OI Data'!P6,0)</f>
        <v/>
      </c>
      <c r="F34" s="27" t="n"/>
      <c r="G34" s="29">
        <f>IFERROR('Raw OI Data'!O7/'Raw OI Data'!P7,0)</f>
        <v/>
      </c>
      <c r="H34" s="29">
        <f>IFERROR('Raw OI Data'!O8/'Raw OI Data'!P8,0)</f>
        <v/>
      </c>
      <c r="I34" s="29">
        <f>IFERROR('Raw OI Data'!O9/'Raw OI Data'!P9,0)</f>
        <v/>
      </c>
      <c r="J34" s="29">
        <f>IFERROR('Raw OI Data'!O10/'Raw OI Data'!P10,0)</f>
        <v/>
      </c>
      <c r="K34" s="27" t="n"/>
      <c r="L34" s="29">
        <f>IFERROR('Raw OI Data'!O11/'Raw OI Data'!P11,0)</f>
        <v/>
      </c>
      <c r="M34" s="29">
        <f>IFERROR('Raw OI Data'!O12/'Raw OI Data'!P12,0)</f>
        <v/>
      </c>
      <c r="N34" s="29">
        <f>IFERROR('Raw OI Data'!O13/'Raw OI Data'!P13,0)</f>
        <v/>
      </c>
      <c r="O34" s="29">
        <f>IFERROR('Raw OI Data'!O14/'Raw OI Data'!P14,0)</f>
        <v/>
      </c>
      <c r="P34" s="27" t="n"/>
      <c r="Q34" s="29">
        <f>IFERROR('Raw OI Data'!O15/'Raw OI Data'!P15,0)</f>
        <v/>
      </c>
      <c r="R34" s="29">
        <f>IFERROR('Raw OI Data'!O16/'Raw OI Data'!P16,0)</f>
        <v/>
      </c>
      <c r="S34" s="29">
        <f>IFERROR('Raw OI Data'!O17/'Raw OI Data'!P17,0)</f>
        <v/>
      </c>
      <c r="T34" s="29">
        <f>IFERROR('Raw OI Data'!O18/'Raw OI Data'!P18,0)</f>
        <v/>
      </c>
      <c r="U34" s="27" t="n"/>
      <c r="V34" s="29">
        <f>IFERROR('Raw OI Data'!O19/'Raw OI Data'!P19,0)</f>
        <v/>
      </c>
      <c r="W34" s="29">
        <f>IFERROR('Raw OI Data'!O20/'Raw OI Data'!P20,0)</f>
        <v/>
      </c>
      <c r="X34" s="29">
        <f>IFERROR('Raw OI Data'!O21/'Raw OI Data'!P21,0)</f>
        <v/>
      </c>
      <c r="Y34" s="29">
        <f>IFERROR('Raw OI Data'!O22/'Raw OI Data'!P22,0)</f>
        <v/>
      </c>
      <c r="Z34" s="27" t="n"/>
    </row>
    <row r="35" ht="14" customHeight="1">
      <c r="A35" s="25" t="inlineStr">
        <is>
          <t>% of Mkt Long</t>
        </is>
      </c>
      <c r="B35" s="30">
        <f>IFERROR('Raw OI Data'!O3/SUM('Raw OI Data'!O3,'Raw OI Data'!O4,'Raw OI Data'!O5,'Raw OI Data'!O6),0)</f>
        <v/>
      </c>
      <c r="C35" s="30">
        <f>IFERROR('Raw OI Data'!O4/SUM('Raw OI Data'!O3,'Raw OI Data'!O4,'Raw OI Data'!O5,'Raw OI Data'!O6),0)</f>
        <v/>
      </c>
      <c r="D35" s="30">
        <f>IFERROR('Raw OI Data'!O5/SUM('Raw OI Data'!O3,'Raw OI Data'!O4,'Raw OI Data'!O5,'Raw OI Data'!O6),0)</f>
        <v/>
      </c>
      <c r="E35" s="30">
        <f>IFERROR('Raw OI Data'!O6/SUM('Raw OI Data'!O3,'Raw OI Data'!O4,'Raw OI Data'!O5,'Raw OI Data'!O6),0)</f>
        <v/>
      </c>
      <c r="F35" s="26" t="n"/>
      <c r="G35" s="30">
        <f>IFERROR('Raw OI Data'!O7/SUM('Raw OI Data'!O7,'Raw OI Data'!O8,'Raw OI Data'!O9,'Raw OI Data'!O10),0)</f>
        <v/>
      </c>
      <c r="H35" s="30">
        <f>IFERROR('Raw OI Data'!O8/SUM('Raw OI Data'!O7,'Raw OI Data'!O8,'Raw OI Data'!O9,'Raw OI Data'!O10),0)</f>
        <v/>
      </c>
      <c r="I35" s="30">
        <f>IFERROR('Raw OI Data'!O9/SUM('Raw OI Data'!O7,'Raw OI Data'!O8,'Raw OI Data'!O9,'Raw OI Data'!O10),0)</f>
        <v/>
      </c>
      <c r="J35" s="30">
        <f>IFERROR('Raw OI Data'!O10/SUM('Raw OI Data'!O7,'Raw OI Data'!O8,'Raw OI Data'!O9,'Raw OI Data'!O10),0)</f>
        <v/>
      </c>
      <c r="K35" s="26" t="n"/>
      <c r="L35" s="30">
        <f>IFERROR('Raw OI Data'!O11/SUM('Raw OI Data'!O11,'Raw OI Data'!O12,'Raw OI Data'!O13,'Raw OI Data'!O14),0)</f>
        <v/>
      </c>
      <c r="M35" s="30">
        <f>IFERROR('Raw OI Data'!O12/SUM('Raw OI Data'!O11,'Raw OI Data'!O12,'Raw OI Data'!O13,'Raw OI Data'!O14),0)</f>
        <v/>
      </c>
      <c r="N35" s="30">
        <f>IFERROR('Raw OI Data'!O13/SUM('Raw OI Data'!O11,'Raw OI Data'!O12,'Raw OI Data'!O13,'Raw OI Data'!O14),0)</f>
        <v/>
      </c>
      <c r="O35" s="30">
        <f>IFERROR('Raw OI Data'!O14/SUM('Raw OI Data'!O11,'Raw OI Data'!O12,'Raw OI Data'!O13,'Raw OI Data'!O14),0)</f>
        <v/>
      </c>
      <c r="P35" s="26" t="n"/>
      <c r="Q35" s="30">
        <f>IFERROR('Raw OI Data'!O15/SUM('Raw OI Data'!O15,'Raw OI Data'!O16,'Raw OI Data'!O17,'Raw OI Data'!O18),0)</f>
        <v/>
      </c>
      <c r="R35" s="30">
        <f>IFERROR('Raw OI Data'!O16/SUM('Raw OI Data'!O15,'Raw OI Data'!O16,'Raw OI Data'!O17,'Raw OI Data'!O18),0)</f>
        <v/>
      </c>
      <c r="S35" s="30">
        <f>IFERROR('Raw OI Data'!O17/SUM('Raw OI Data'!O15,'Raw OI Data'!O16,'Raw OI Data'!O17,'Raw OI Data'!O18),0)</f>
        <v/>
      </c>
      <c r="T35" s="30">
        <f>IFERROR('Raw OI Data'!O18/SUM('Raw OI Data'!O15,'Raw OI Data'!O16,'Raw OI Data'!O17,'Raw OI Data'!O18),0)</f>
        <v/>
      </c>
      <c r="U35" s="26" t="n"/>
      <c r="V35" s="30">
        <f>IFERROR('Raw OI Data'!O19/SUM('Raw OI Data'!O19,'Raw OI Data'!O20,'Raw OI Data'!O21,'Raw OI Data'!O22),0)</f>
        <v/>
      </c>
      <c r="W35" s="30">
        <f>IFERROR('Raw OI Data'!O20/SUM('Raw OI Data'!O19,'Raw OI Data'!O20,'Raw OI Data'!O21,'Raw OI Data'!O22),0)</f>
        <v/>
      </c>
      <c r="X35" s="30">
        <f>IFERROR('Raw OI Data'!O21/SUM('Raw OI Data'!O19,'Raw OI Data'!O20,'Raw OI Data'!O21,'Raw OI Data'!O22),0)</f>
        <v/>
      </c>
      <c r="Y35" s="30">
        <f>IFERROR('Raw OI Data'!O22/SUM('Raw OI Data'!O19,'Raw OI Data'!O20,'Raw OI Data'!O21,'Raw OI Data'!O22),0)</f>
        <v/>
      </c>
      <c r="Z35" s="26" t="n"/>
    </row>
    <row r="36" ht="14" customHeight="1">
      <c r="A36" s="25" t="inlineStr">
        <is>
          <t>% of Mkt Short</t>
        </is>
      </c>
      <c r="B36" s="31">
        <f>IFERROR('Raw OI Data'!P3/SUM('Raw OI Data'!P3,'Raw OI Data'!P4,'Raw OI Data'!P5,'Raw OI Data'!P6),0)</f>
        <v/>
      </c>
      <c r="C36" s="31">
        <f>IFERROR('Raw OI Data'!P4/SUM('Raw OI Data'!P3,'Raw OI Data'!P4,'Raw OI Data'!P5,'Raw OI Data'!P6),0)</f>
        <v/>
      </c>
      <c r="D36" s="31">
        <f>IFERROR('Raw OI Data'!P5/SUM('Raw OI Data'!P3,'Raw OI Data'!P4,'Raw OI Data'!P5,'Raw OI Data'!P6),0)</f>
        <v/>
      </c>
      <c r="E36" s="31">
        <f>IFERROR('Raw OI Data'!P6/SUM('Raw OI Data'!P3,'Raw OI Data'!P4,'Raw OI Data'!P5,'Raw OI Data'!P6),0)</f>
        <v/>
      </c>
      <c r="F36" s="27" t="n"/>
      <c r="G36" s="31">
        <f>IFERROR('Raw OI Data'!P7/SUM('Raw OI Data'!P7,'Raw OI Data'!P8,'Raw OI Data'!P9,'Raw OI Data'!P10),0)</f>
        <v/>
      </c>
      <c r="H36" s="31">
        <f>IFERROR('Raw OI Data'!P8/SUM('Raw OI Data'!P7,'Raw OI Data'!P8,'Raw OI Data'!P9,'Raw OI Data'!P10),0)</f>
        <v/>
      </c>
      <c r="I36" s="31">
        <f>IFERROR('Raw OI Data'!P9/SUM('Raw OI Data'!P7,'Raw OI Data'!P8,'Raw OI Data'!P9,'Raw OI Data'!P10),0)</f>
        <v/>
      </c>
      <c r="J36" s="31">
        <f>IFERROR('Raw OI Data'!P10/SUM('Raw OI Data'!P7,'Raw OI Data'!P8,'Raw OI Data'!P9,'Raw OI Data'!P10),0)</f>
        <v/>
      </c>
      <c r="K36" s="27" t="n"/>
      <c r="L36" s="31">
        <f>IFERROR('Raw OI Data'!P11/SUM('Raw OI Data'!P11,'Raw OI Data'!P12,'Raw OI Data'!P13,'Raw OI Data'!P14),0)</f>
        <v/>
      </c>
      <c r="M36" s="31">
        <f>IFERROR('Raw OI Data'!P12/SUM('Raw OI Data'!P11,'Raw OI Data'!P12,'Raw OI Data'!P13,'Raw OI Data'!P14),0)</f>
        <v/>
      </c>
      <c r="N36" s="31">
        <f>IFERROR('Raw OI Data'!P13/SUM('Raw OI Data'!P11,'Raw OI Data'!P12,'Raw OI Data'!P13,'Raw OI Data'!P14),0)</f>
        <v/>
      </c>
      <c r="O36" s="31">
        <f>IFERROR('Raw OI Data'!P14/SUM('Raw OI Data'!P11,'Raw OI Data'!P12,'Raw OI Data'!P13,'Raw OI Data'!P14),0)</f>
        <v/>
      </c>
      <c r="P36" s="27" t="n"/>
      <c r="Q36" s="31">
        <f>IFERROR('Raw OI Data'!P15/SUM('Raw OI Data'!P15,'Raw OI Data'!P16,'Raw OI Data'!P17,'Raw OI Data'!P18),0)</f>
        <v/>
      </c>
      <c r="R36" s="31">
        <f>IFERROR('Raw OI Data'!P16/SUM('Raw OI Data'!P15,'Raw OI Data'!P16,'Raw OI Data'!P17,'Raw OI Data'!P18),0)</f>
        <v/>
      </c>
      <c r="S36" s="31">
        <f>IFERROR('Raw OI Data'!P17/SUM('Raw OI Data'!P15,'Raw OI Data'!P16,'Raw OI Data'!P17,'Raw OI Data'!P18),0)</f>
        <v/>
      </c>
      <c r="T36" s="31">
        <f>IFERROR('Raw OI Data'!P18/SUM('Raw OI Data'!P15,'Raw OI Data'!P16,'Raw OI Data'!P17,'Raw OI Data'!P18),0)</f>
        <v/>
      </c>
      <c r="U36" s="27" t="n"/>
      <c r="V36" s="31">
        <f>IFERROR('Raw OI Data'!P19/SUM('Raw OI Data'!P19,'Raw OI Data'!P20,'Raw OI Data'!P21,'Raw OI Data'!P22),0)</f>
        <v/>
      </c>
      <c r="W36" s="31">
        <f>IFERROR('Raw OI Data'!P20/SUM('Raw OI Data'!P19,'Raw OI Data'!P20,'Raw OI Data'!P21,'Raw OI Data'!P22),0)</f>
        <v/>
      </c>
      <c r="X36" s="31">
        <f>IFERROR('Raw OI Data'!P21/SUM('Raw OI Data'!P19,'Raw OI Data'!P20,'Raw OI Data'!P21,'Raw OI Data'!P22),0)</f>
        <v/>
      </c>
      <c r="Y36" s="31">
        <f>IFERROR('Raw OI Data'!P22/SUM('Raw OI Data'!P19,'Raw OI Data'!P20,'Raw OI Data'!P21,'Raw OI Data'!P22),0)</f>
        <v/>
      </c>
      <c r="Z36" s="27" t="n"/>
    </row>
  </sheetData>
  <mergeCells count="13">
    <mergeCell ref="A14:Z14"/>
    <mergeCell ref="A1:Z1"/>
    <mergeCell ref="A9:Z9"/>
    <mergeCell ref="A18:Z18"/>
    <mergeCell ref="A22:Z22"/>
    <mergeCell ref="V2:Y2"/>
    <mergeCell ref="L2:O2"/>
    <mergeCell ref="A4:Z4"/>
    <mergeCell ref="G2:J2"/>
    <mergeCell ref="A26:Z26"/>
    <mergeCell ref="B2:E2"/>
    <mergeCell ref="Q2:T2"/>
    <mergeCell ref="A30:Z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TV Dashboard</t>
        </is>
      </c>
    </row>
    <row r="2" ht="16" customHeight="1">
      <c r="A2" s="19" t="inlineStr">
        <is>
          <t>Metric</t>
        </is>
      </c>
      <c r="B2" s="19" t="inlineStr">
        <is>
          <t>Jul 06 2026</t>
        </is>
      </c>
      <c r="C2" s="20" t="n"/>
      <c r="D2" s="20" t="n"/>
      <c r="E2" s="20" t="n"/>
      <c r="F2" s="21" t="n"/>
      <c r="G2" s="19" t="inlineStr">
        <is>
          <t>Jul 07 2026</t>
        </is>
      </c>
      <c r="H2" s="20" t="n"/>
      <c r="I2" s="20" t="n"/>
      <c r="J2" s="20" t="n"/>
      <c r="K2" s="21" t="n"/>
      <c r="L2" s="19" t="inlineStr">
        <is>
          <t>Jul 08 2026</t>
        </is>
      </c>
      <c r="M2" s="20" t="n"/>
      <c r="N2" s="20" t="n"/>
      <c r="O2" s="20" t="n"/>
      <c r="P2" s="21" t="n"/>
      <c r="Q2" s="19" t="inlineStr">
        <is>
          <t>Jul 09 2026</t>
        </is>
      </c>
      <c r="R2" s="20" t="n"/>
      <c r="S2" s="20" t="n"/>
      <c r="T2" s="20" t="n"/>
      <c r="U2" s="21" t="n"/>
      <c r="V2" s="19" t="inlineStr">
        <is>
          <t>Jul 10 2026</t>
        </is>
      </c>
      <c r="W2" s="20" t="n"/>
      <c r="X2" s="20" t="n"/>
      <c r="Y2" s="20" t="n"/>
      <c r="Z2" s="21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FUTURES — INDEX</t>
        </is>
      </c>
    </row>
    <row r="5" ht="14" customHeight="1">
      <c r="A5" s="25" t="inlineStr">
        <is>
          <t>Buy Volume</t>
        </is>
      </c>
      <c r="B5" s="4">
        <f>'Raw TV Data'!C3</f>
        <v/>
      </c>
      <c r="C5" s="4">
        <f>'Raw TV Data'!C4</f>
        <v/>
      </c>
      <c r="D5" s="4">
        <f>'Raw TV Data'!C5</f>
        <v/>
      </c>
      <c r="E5" s="4">
        <f>'Raw TV Data'!C6</f>
        <v/>
      </c>
      <c r="F5" s="26" t="n"/>
      <c r="G5" s="4">
        <f>'Raw TV Data'!C7</f>
        <v/>
      </c>
      <c r="H5" s="4">
        <f>'Raw TV Data'!C8</f>
        <v/>
      </c>
      <c r="I5" s="4">
        <f>'Raw TV Data'!C9</f>
        <v/>
      </c>
      <c r="J5" s="4">
        <f>'Raw TV Data'!C10</f>
        <v/>
      </c>
      <c r="K5" s="26" t="n"/>
      <c r="L5" s="4">
        <f>'Raw TV Data'!C11</f>
        <v/>
      </c>
      <c r="M5" s="4">
        <f>'Raw TV Data'!C12</f>
        <v/>
      </c>
      <c r="N5" s="4">
        <f>'Raw TV Data'!C13</f>
        <v/>
      </c>
      <c r="O5" s="4">
        <f>'Raw TV Data'!C14</f>
        <v/>
      </c>
      <c r="P5" s="26" t="n"/>
      <c r="Q5" s="4">
        <f>'Raw TV Data'!C15</f>
        <v/>
      </c>
      <c r="R5" s="4">
        <f>'Raw TV Data'!C16</f>
        <v/>
      </c>
      <c r="S5" s="4">
        <f>'Raw TV Data'!C17</f>
        <v/>
      </c>
      <c r="T5" s="4">
        <f>'Raw TV Data'!C18</f>
        <v/>
      </c>
      <c r="U5" s="26" t="n"/>
      <c r="V5" s="4">
        <f>'Raw TV Data'!C19</f>
        <v/>
      </c>
      <c r="W5" s="4">
        <f>'Raw TV Data'!C20</f>
        <v/>
      </c>
      <c r="X5" s="4">
        <f>'Raw TV Data'!C21</f>
        <v/>
      </c>
      <c r="Y5" s="4">
        <f>'Raw TV Data'!C22</f>
        <v/>
      </c>
      <c r="Z5" s="26" t="n"/>
    </row>
    <row r="6" ht="14" customHeight="1">
      <c r="A6" s="25" t="inlineStr">
        <is>
          <t>Sell Volume</t>
        </is>
      </c>
      <c r="B6" s="6">
        <f>'Raw TV Data'!D3</f>
        <v/>
      </c>
      <c r="C6" s="6">
        <f>'Raw TV Data'!D4</f>
        <v/>
      </c>
      <c r="D6" s="6">
        <f>'Raw TV Data'!D5</f>
        <v/>
      </c>
      <c r="E6" s="6">
        <f>'Raw TV Data'!D6</f>
        <v/>
      </c>
      <c r="F6" s="27" t="n"/>
      <c r="G6" s="6">
        <f>'Raw TV Data'!D7</f>
        <v/>
      </c>
      <c r="H6" s="6">
        <f>'Raw TV Data'!D8</f>
        <v/>
      </c>
      <c r="I6" s="6">
        <f>'Raw TV Data'!D9</f>
        <v/>
      </c>
      <c r="J6" s="6">
        <f>'Raw TV Data'!D10</f>
        <v/>
      </c>
      <c r="K6" s="27" t="n"/>
      <c r="L6" s="6">
        <f>'Raw TV Data'!D11</f>
        <v/>
      </c>
      <c r="M6" s="6">
        <f>'Raw TV Data'!D12</f>
        <v/>
      </c>
      <c r="N6" s="6">
        <f>'Raw TV Data'!D13</f>
        <v/>
      </c>
      <c r="O6" s="6">
        <f>'Raw TV Data'!D14</f>
        <v/>
      </c>
      <c r="P6" s="27" t="n"/>
      <c r="Q6" s="6">
        <f>'Raw TV Data'!D15</f>
        <v/>
      </c>
      <c r="R6" s="6">
        <f>'Raw TV Data'!D16</f>
        <v/>
      </c>
      <c r="S6" s="6">
        <f>'Raw TV Data'!D17</f>
        <v/>
      </c>
      <c r="T6" s="6">
        <f>'Raw TV Data'!D18</f>
        <v/>
      </c>
      <c r="U6" s="27" t="n"/>
      <c r="V6" s="6">
        <f>'Raw TV Data'!D19</f>
        <v/>
      </c>
      <c r="W6" s="6">
        <f>'Raw TV Data'!D20</f>
        <v/>
      </c>
      <c r="X6" s="6">
        <f>'Raw TV Data'!D21</f>
        <v/>
      </c>
      <c r="Y6" s="6">
        <f>'Raw TV Data'!D22</f>
        <v/>
      </c>
      <c r="Z6" s="27" t="n"/>
    </row>
    <row r="7" ht="14" customHeight="1">
      <c r="A7" s="25" t="inlineStr">
        <is>
          <t>Net Volume (B−S)</t>
        </is>
      </c>
      <c r="B7" s="28">
        <f>'Raw TV Data'!C3-'Raw TV Data'!D3</f>
        <v/>
      </c>
      <c r="C7" s="28">
        <f>'Raw TV Data'!C4-'Raw TV Data'!D4</f>
        <v/>
      </c>
      <c r="D7" s="28">
        <f>'Raw TV Data'!C5-'Raw TV Data'!D5</f>
        <v/>
      </c>
      <c r="E7" s="28">
        <f>'Raw TV Data'!C6-'Raw TV Data'!D6</f>
        <v/>
      </c>
      <c r="F7" s="26" t="n"/>
      <c r="G7" s="28">
        <f>'Raw TV Data'!C7-'Raw TV Data'!D7</f>
        <v/>
      </c>
      <c r="H7" s="28">
        <f>'Raw TV Data'!C8-'Raw TV Data'!D8</f>
        <v/>
      </c>
      <c r="I7" s="28">
        <f>'Raw TV Data'!C9-'Raw TV Data'!D9</f>
        <v/>
      </c>
      <c r="J7" s="28">
        <f>'Raw TV Data'!C10-'Raw TV Data'!D10</f>
        <v/>
      </c>
      <c r="K7" s="26" t="n"/>
      <c r="L7" s="28">
        <f>'Raw TV Data'!C11-'Raw TV Data'!D11</f>
        <v/>
      </c>
      <c r="M7" s="28">
        <f>'Raw TV Data'!C12-'Raw TV Data'!D12</f>
        <v/>
      </c>
      <c r="N7" s="28">
        <f>'Raw TV Data'!C13-'Raw TV Data'!D13</f>
        <v/>
      </c>
      <c r="O7" s="28">
        <f>'Raw TV Data'!C14-'Raw TV Data'!D14</f>
        <v/>
      </c>
      <c r="P7" s="26" t="n"/>
      <c r="Q7" s="28">
        <f>'Raw TV Data'!C15-'Raw TV Data'!D15</f>
        <v/>
      </c>
      <c r="R7" s="28">
        <f>'Raw TV Data'!C16-'Raw TV Data'!D16</f>
        <v/>
      </c>
      <c r="S7" s="28">
        <f>'Raw TV Data'!C17-'Raw TV Data'!D17</f>
        <v/>
      </c>
      <c r="T7" s="28">
        <f>'Raw TV Data'!C18-'Raw TV Data'!D18</f>
        <v/>
      </c>
      <c r="U7" s="26" t="n"/>
      <c r="V7" s="28">
        <f>'Raw TV Data'!C19-'Raw TV Data'!D19</f>
        <v/>
      </c>
      <c r="W7" s="28">
        <f>'Raw TV Data'!C20-'Raw TV Data'!D20</f>
        <v/>
      </c>
      <c r="X7" s="28">
        <f>'Raw TV Data'!C21-'Raw TV Data'!D21</f>
        <v/>
      </c>
      <c r="Y7" s="28">
        <f>'Raw TV Data'!C22-'Raw TV Data'!D22</f>
        <v/>
      </c>
      <c r="Z7" s="26" t="n"/>
    </row>
    <row r="8" ht="16" customHeight="1">
      <c r="A8" s="14" t="inlineStr">
        <is>
          <t>FUTURES — STOCK</t>
        </is>
      </c>
    </row>
    <row r="9" ht="14" customHeight="1">
      <c r="A9" s="25" t="inlineStr">
        <is>
          <t>Buy Volume</t>
        </is>
      </c>
      <c r="B9" s="4">
        <f>'Raw TV Data'!E3</f>
        <v/>
      </c>
      <c r="C9" s="4">
        <f>'Raw TV Data'!E4</f>
        <v/>
      </c>
      <c r="D9" s="4">
        <f>'Raw TV Data'!E5</f>
        <v/>
      </c>
      <c r="E9" s="4">
        <f>'Raw TV Data'!E6</f>
        <v/>
      </c>
      <c r="F9" s="26" t="n"/>
      <c r="G9" s="4">
        <f>'Raw TV Data'!E7</f>
        <v/>
      </c>
      <c r="H9" s="4">
        <f>'Raw TV Data'!E8</f>
        <v/>
      </c>
      <c r="I9" s="4">
        <f>'Raw TV Data'!E9</f>
        <v/>
      </c>
      <c r="J9" s="4">
        <f>'Raw TV Data'!E10</f>
        <v/>
      </c>
      <c r="K9" s="26" t="n"/>
      <c r="L9" s="4">
        <f>'Raw TV Data'!E11</f>
        <v/>
      </c>
      <c r="M9" s="4">
        <f>'Raw TV Data'!E12</f>
        <v/>
      </c>
      <c r="N9" s="4">
        <f>'Raw TV Data'!E13</f>
        <v/>
      </c>
      <c r="O9" s="4">
        <f>'Raw TV Data'!E14</f>
        <v/>
      </c>
      <c r="P9" s="26" t="n"/>
      <c r="Q9" s="4">
        <f>'Raw TV Data'!E15</f>
        <v/>
      </c>
      <c r="R9" s="4">
        <f>'Raw TV Data'!E16</f>
        <v/>
      </c>
      <c r="S9" s="4">
        <f>'Raw TV Data'!E17</f>
        <v/>
      </c>
      <c r="T9" s="4">
        <f>'Raw TV Data'!E18</f>
        <v/>
      </c>
      <c r="U9" s="26" t="n"/>
      <c r="V9" s="4">
        <f>'Raw TV Data'!E19</f>
        <v/>
      </c>
      <c r="W9" s="4">
        <f>'Raw TV Data'!E20</f>
        <v/>
      </c>
      <c r="X9" s="4">
        <f>'Raw TV Data'!E21</f>
        <v/>
      </c>
      <c r="Y9" s="4">
        <f>'Raw TV Data'!E22</f>
        <v/>
      </c>
      <c r="Z9" s="26" t="n"/>
    </row>
    <row r="10" ht="14" customHeight="1">
      <c r="A10" s="25" t="inlineStr">
        <is>
          <t>Sell Volume</t>
        </is>
      </c>
      <c r="B10" s="6">
        <f>'Raw TV Data'!F3</f>
        <v/>
      </c>
      <c r="C10" s="6">
        <f>'Raw TV Data'!F4</f>
        <v/>
      </c>
      <c r="D10" s="6">
        <f>'Raw TV Data'!F5</f>
        <v/>
      </c>
      <c r="E10" s="6">
        <f>'Raw TV Data'!F6</f>
        <v/>
      </c>
      <c r="F10" s="27" t="n"/>
      <c r="G10" s="6">
        <f>'Raw TV Data'!F7</f>
        <v/>
      </c>
      <c r="H10" s="6">
        <f>'Raw TV Data'!F8</f>
        <v/>
      </c>
      <c r="I10" s="6">
        <f>'Raw TV Data'!F9</f>
        <v/>
      </c>
      <c r="J10" s="6">
        <f>'Raw TV Data'!F10</f>
        <v/>
      </c>
      <c r="K10" s="27" t="n"/>
      <c r="L10" s="6">
        <f>'Raw TV Data'!F11</f>
        <v/>
      </c>
      <c r="M10" s="6">
        <f>'Raw TV Data'!F12</f>
        <v/>
      </c>
      <c r="N10" s="6">
        <f>'Raw TV Data'!F13</f>
        <v/>
      </c>
      <c r="O10" s="6">
        <f>'Raw TV Data'!F14</f>
        <v/>
      </c>
      <c r="P10" s="27" t="n"/>
      <c r="Q10" s="6">
        <f>'Raw TV Data'!F15</f>
        <v/>
      </c>
      <c r="R10" s="6">
        <f>'Raw TV Data'!F16</f>
        <v/>
      </c>
      <c r="S10" s="6">
        <f>'Raw TV Data'!F17</f>
        <v/>
      </c>
      <c r="T10" s="6">
        <f>'Raw TV Data'!F18</f>
        <v/>
      </c>
      <c r="U10" s="27" t="n"/>
      <c r="V10" s="6">
        <f>'Raw TV Data'!F19</f>
        <v/>
      </c>
      <c r="W10" s="6">
        <f>'Raw TV Data'!F20</f>
        <v/>
      </c>
      <c r="X10" s="6">
        <f>'Raw TV Data'!F21</f>
        <v/>
      </c>
      <c r="Y10" s="6">
        <f>'Raw TV Data'!F22</f>
        <v/>
      </c>
      <c r="Z10" s="27" t="n"/>
    </row>
    <row r="11" ht="14" customHeight="1">
      <c r="A11" s="25" t="inlineStr">
        <is>
          <t>Net Volume (B−S)</t>
        </is>
      </c>
      <c r="B11" s="28">
        <f>'Raw TV Data'!E3-'Raw TV Data'!F3</f>
        <v/>
      </c>
      <c r="C11" s="28">
        <f>'Raw TV Data'!E4-'Raw TV Data'!F4</f>
        <v/>
      </c>
      <c r="D11" s="28">
        <f>'Raw TV Data'!E5-'Raw TV Data'!F5</f>
        <v/>
      </c>
      <c r="E11" s="28">
        <f>'Raw TV Data'!E6-'Raw TV Data'!F6</f>
        <v/>
      </c>
      <c r="F11" s="26" t="n"/>
      <c r="G11" s="28">
        <f>'Raw TV Data'!E7-'Raw TV Data'!F7</f>
        <v/>
      </c>
      <c r="H11" s="28">
        <f>'Raw TV Data'!E8-'Raw TV Data'!F8</f>
        <v/>
      </c>
      <c r="I11" s="28">
        <f>'Raw TV Data'!E9-'Raw TV Data'!F9</f>
        <v/>
      </c>
      <c r="J11" s="28">
        <f>'Raw TV Data'!E10-'Raw TV Data'!F10</f>
        <v/>
      </c>
      <c r="K11" s="26" t="n"/>
      <c r="L11" s="28">
        <f>'Raw TV Data'!E11-'Raw TV Data'!F11</f>
        <v/>
      </c>
      <c r="M11" s="28">
        <f>'Raw TV Data'!E12-'Raw TV Data'!F12</f>
        <v/>
      </c>
      <c r="N11" s="28">
        <f>'Raw TV Data'!E13-'Raw TV Data'!F13</f>
        <v/>
      </c>
      <c r="O11" s="28">
        <f>'Raw TV Data'!E14-'Raw TV Data'!F14</f>
        <v/>
      </c>
      <c r="P11" s="26" t="n"/>
      <c r="Q11" s="28">
        <f>'Raw TV Data'!E15-'Raw TV Data'!F15</f>
        <v/>
      </c>
      <c r="R11" s="28">
        <f>'Raw TV Data'!E16-'Raw TV Data'!F16</f>
        <v/>
      </c>
      <c r="S11" s="28">
        <f>'Raw TV Data'!E17-'Raw TV Data'!F17</f>
        <v/>
      </c>
      <c r="T11" s="28">
        <f>'Raw TV Data'!E18-'Raw TV Data'!F18</f>
        <v/>
      </c>
      <c r="U11" s="26" t="n"/>
      <c r="V11" s="28">
        <f>'Raw TV Data'!E19-'Raw TV Data'!F19</f>
        <v/>
      </c>
      <c r="W11" s="28">
        <f>'Raw TV Data'!E20-'Raw TV Data'!F20</f>
        <v/>
      </c>
      <c r="X11" s="28">
        <f>'Raw TV Data'!E21-'Raw TV Data'!F21</f>
        <v/>
      </c>
      <c r="Y11" s="28">
        <f>'Raw TV Data'!E22-'Raw TV Data'!F22</f>
        <v/>
      </c>
      <c r="Z11" s="26" t="n"/>
    </row>
    <row r="12" ht="16" customHeight="1">
      <c r="A12" s="14" t="inlineStr">
        <is>
          <t>OPTIONS — INDEX</t>
        </is>
      </c>
    </row>
    <row r="13" ht="14" customHeight="1">
      <c r="A13" s="25" t="inlineStr">
        <is>
          <t>Call Buy Volume</t>
        </is>
      </c>
      <c r="B13" s="4">
        <f>'Raw TV Data'!G3</f>
        <v/>
      </c>
      <c r="C13" s="4">
        <f>'Raw TV Data'!G4</f>
        <v/>
      </c>
      <c r="D13" s="4">
        <f>'Raw TV Data'!G5</f>
        <v/>
      </c>
      <c r="E13" s="4">
        <f>'Raw TV Data'!G6</f>
        <v/>
      </c>
      <c r="F13" s="26" t="n"/>
      <c r="G13" s="4">
        <f>'Raw TV Data'!G7</f>
        <v/>
      </c>
      <c r="H13" s="4">
        <f>'Raw TV Data'!G8</f>
        <v/>
      </c>
      <c r="I13" s="4">
        <f>'Raw TV Data'!G9</f>
        <v/>
      </c>
      <c r="J13" s="4">
        <f>'Raw TV Data'!G10</f>
        <v/>
      </c>
      <c r="K13" s="26" t="n"/>
      <c r="L13" s="4">
        <f>'Raw TV Data'!G11</f>
        <v/>
      </c>
      <c r="M13" s="4">
        <f>'Raw TV Data'!G12</f>
        <v/>
      </c>
      <c r="N13" s="4">
        <f>'Raw TV Data'!G13</f>
        <v/>
      </c>
      <c r="O13" s="4">
        <f>'Raw TV Data'!G14</f>
        <v/>
      </c>
      <c r="P13" s="26" t="n"/>
      <c r="Q13" s="4">
        <f>'Raw TV Data'!G15</f>
        <v/>
      </c>
      <c r="R13" s="4">
        <f>'Raw TV Data'!G16</f>
        <v/>
      </c>
      <c r="S13" s="4">
        <f>'Raw TV Data'!G17</f>
        <v/>
      </c>
      <c r="T13" s="4">
        <f>'Raw TV Data'!G18</f>
        <v/>
      </c>
      <c r="U13" s="26" t="n"/>
      <c r="V13" s="4">
        <f>'Raw TV Data'!G19</f>
        <v/>
      </c>
      <c r="W13" s="4">
        <f>'Raw TV Data'!G20</f>
        <v/>
      </c>
      <c r="X13" s="4">
        <f>'Raw TV Data'!G21</f>
        <v/>
      </c>
      <c r="Y13" s="4">
        <f>'Raw TV Data'!G22</f>
        <v/>
      </c>
      <c r="Z13" s="26" t="n"/>
    </row>
    <row r="14" ht="14" customHeight="1">
      <c r="A14" s="25" t="inlineStr">
        <is>
          <t>Put Buy Volume</t>
        </is>
      </c>
      <c r="B14" s="6">
        <f>'Raw TV Data'!H3</f>
        <v/>
      </c>
      <c r="C14" s="6">
        <f>'Raw TV Data'!H4</f>
        <v/>
      </c>
      <c r="D14" s="6">
        <f>'Raw TV Data'!H5</f>
        <v/>
      </c>
      <c r="E14" s="6">
        <f>'Raw TV Data'!H6</f>
        <v/>
      </c>
      <c r="F14" s="27" t="n"/>
      <c r="G14" s="6">
        <f>'Raw TV Data'!H7</f>
        <v/>
      </c>
      <c r="H14" s="6">
        <f>'Raw TV Data'!H8</f>
        <v/>
      </c>
      <c r="I14" s="6">
        <f>'Raw TV Data'!H9</f>
        <v/>
      </c>
      <c r="J14" s="6">
        <f>'Raw TV Data'!H10</f>
        <v/>
      </c>
      <c r="K14" s="27" t="n"/>
      <c r="L14" s="6">
        <f>'Raw TV Data'!H11</f>
        <v/>
      </c>
      <c r="M14" s="6">
        <f>'Raw TV Data'!H12</f>
        <v/>
      </c>
      <c r="N14" s="6">
        <f>'Raw TV Data'!H13</f>
        <v/>
      </c>
      <c r="O14" s="6">
        <f>'Raw TV Data'!H14</f>
        <v/>
      </c>
      <c r="P14" s="27" t="n"/>
      <c r="Q14" s="6">
        <f>'Raw TV Data'!H15</f>
        <v/>
      </c>
      <c r="R14" s="6">
        <f>'Raw TV Data'!H16</f>
        <v/>
      </c>
      <c r="S14" s="6">
        <f>'Raw TV Data'!H17</f>
        <v/>
      </c>
      <c r="T14" s="6">
        <f>'Raw TV Data'!H18</f>
        <v/>
      </c>
      <c r="U14" s="27" t="n"/>
      <c r="V14" s="6">
        <f>'Raw TV Data'!H19</f>
        <v/>
      </c>
      <c r="W14" s="6">
        <f>'Raw TV Data'!H20</f>
        <v/>
      </c>
      <c r="X14" s="6">
        <f>'Raw TV Data'!H21</f>
        <v/>
      </c>
      <c r="Y14" s="6">
        <f>'Raw TV Data'!H22</f>
        <v/>
      </c>
      <c r="Z14" s="27" t="n"/>
    </row>
    <row r="15" ht="14" customHeight="1">
      <c r="A15" s="25" t="inlineStr">
        <is>
          <t>Volume PCR</t>
        </is>
      </c>
      <c r="B15" s="18">
        <f>IFERROR('Raw TV Data'!H3/'Raw TV Data'!G3,0)</f>
        <v/>
      </c>
      <c r="C15" s="18">
        <f>IFERROR('Raw TV Data'!H4/'Raw TV Data'!G4,0)</f>
        <v/>
      </c>
      <c r="D15" s="18">
        <f>IFERROR('Raw TV Data'!H5/'Raw TV Data'!G5,0)</f>
        <v/>
      </c>
      <c r="E15" s="18">
        <f>IFERROR('Raw TV Data'!H6/'Raw TV Data'!G6,0)</f>
        <v/>
      </c>
      <c r="F15" s="26" t="n"/>
      <c r="G15" s="18">
        <f>IFERROR('Raw TV Data'!H7/'Raw TV Data'!G7,0)</f>
        <v/>
      </c>
      <c r="H15" s="18">
        <f>IFERROR('Raw TV Data'!H8/'Raw TV Data'!G8,0)</f>
        <v/>
      </c>
      <c r="I15" s="18">
        <f>IFERROR('Raw TV Data'!H9/'Raw TV Data'!G9,0)</f>
        <v/>
      </c>
      <c r="J15" s="18">
        <f>IFERROR('Raw TV Data'!H10/'Raw TV Data'!G10,0)</f>
        <v/>
      </c>
      <c r="K15" s="26" t="n"/>
      <c r="L15" s="18">
        <f>IFERROR('Raw TV Data'!H11/'Raw TV Data'!G11,0)</f>
        <v/>
      </c>
      <c r="M15" s="18">
        <f>IFERROR('Raw TV Data'!H12/'Raw TV Data'!G12,0)</f>
        <v/>
      </c>
      <c r="N15" s="18">
        <f>IFERROR('Raw TV Data'!H13/'Raw TV Data'!G13,0)</f>
        <v/>
      </c>
      <c r="O15" s="18">
        <f>IFERROR('Raw TV Data'!H14/'Raw TV Data'!G14,0)</f>
        <v/>
      </c>
      <c r="P15" s="26" t="n"/>
      <c r="Q15" s="18">
        <f>IFERROR('Raw TV Data'!H15/'Raw TV Data'!G15,0)</f>
        <v/>
      </c>
      <c r="R15" s="18">
        <f>IFERROR('Raw TV Data'!H16/'Raw TV Data'!G16,0)</f>
        <v/>
      </c>
      <c r="S15" s="18">
        <f>IFERROR('Raw TV Data'!H17/'Raw TV Data'!G17,0)</f>
        <v/>
      </c>
      <c r="T15" s="18">
        <f>IFERROR('Raw TV Data'!H18/'Raw TV Data'!G18,0)</f>
        <v/>
      </c>
      <c r="U15" s="26" t="n"/>
      <c r="V15" s="18">
        <f>IFERROR('Raw TV Data'!H19/'Raw TV Data'!G19,0)</f>
        <v/>
      </c>
      <c r="W15" s="18">
        <f>IFERROR('Raw TV Data'!H20/'Raw TV Data'!G20,0)</f>
        <v/>
      </c>
      <c r="X15" s="18">
        <f>IFERROR('Raw TV Data'!H21/'Raw TV Data'!G21,0)</f>
        <v/>
      </c>
      <c r="Y15" s="18">
        <f>IFERROR('Raw TV Data'!H22/'Raw TV Data'!G22,0)</f>
        <v/>
      </c>
      <c r="Z15" s="26" t="n"/>
    </row>
    <row r="16" ht="14" customHeight="1">
      <c r="A16" s="25" t="inlineStr">
        <is>
          <t>Call Sell Volume</t>
        </is>
      </c>
      <c r="B16" s="6">
        <f>'Raw TV Data'!I3</f>
        <v/>
      </c>
      <c r="C16" s="6">
        <f>'Raw TV Data'!I4</f>
        <v/>
      </c>
      <c r="D16" s="6">
        <f>'Raw TV Data'!I5</f>
        <v/>
      </c>
      <c r="E16" s="6">
        <f>'Raw TV Data'!I6</f>
        <v/>
      </c>
      <c r="F16" s="27" t="n"/>
      <c r="G16" s="6">
        <f>'Raw TV Data'!I7</f>
        <v/>
      </c>
      <c r="H16" s="6">
        <f>'Raw TV Data'!I8</f>
        <v/>
      </c>
      <c r="I16" s="6">
        <f>'Raw TV Data'!I9</f>
        <v/>
      </c>
      <c r="J16" s="6">
        <f>'Raw TV Data'!I10</f>
        <v/>
      </c>
      <c r="K16" s="27" t="n"/>
      <c r="L16" s="6">
        <f>'Raw TV Data'!I11</f>
        <v/>
      </c>
      <c r="M16" s="6">
        <f>'Raw TV Data'!I12</f>
        <v/>
      </c>
      <c r="N16" s="6">
        <f>'Raw TV Data'!I13</f>
        <v/>
      </c>
      <c r="O16" s="6">
        <f>'Raw TV Data'!I14</f>
        <v/>
      </c>
      <c r="P16" s="27" t="n"/>
      <c r="Q16" s="6">
        <f>'Raw TV Data'!I15</f>
        <v/>
      </c>
      <c r="R16" s="6">
        <f>'Raw TV Data'!I16</f>
        <v/>
      </c>
      <c r="S16" s="6">
        <f>'Raw TV Data'!I17</f>
        <v/>
      </c>
      <c r="T16" s="6">
        <f>'Raw TV Data'!I18</f>
        <v/>
      </c>
      <c r="U16" s="27" t="n"/>
      <c r="V16" s="6">
        <f>'Raw TV Data'!I19</f>
        <v/>
      </c>
      <c r="W16" s="6">
        <f>'Raw TV Data'!I20</f>
        <v/>
      </c>
      <c r="X16" s="6">
        <f>'Raw TV Data'!I21</f>
        <v/>
      </c>
      <c r="Y16" s="6">
        <f>'Raw TV Data'!I22</f>
        <v/>
      </c>
      <c r="Z16" s="27" t="n"/>
    </row>
    <row r="17" ht="14" customHeight="1">
      <c r="A17" s="25" t="inlineStr">
        <is>
          <t>Put Sell Volume</t>
        </is>
      </c>
      <c r="B17" s="4">
        <f>'Raw TV Data'!J3</f>
        <v/>
      </c>
      <c r="C17" s="4">
        <f>'Raw TV Data'!J4</f>
        <v/>
      </c>
      <c r="D17" s="4">
        <f>'Raw TV Data'!J5</f>
        <v/>
      </c>
      <c r="E17" s="4">
        <f>'Raw TV Data'!J6</f>
        <v/>
      </c>
      <c r="F17" s="26" t="n"/>
      <c r="G17" s="4">
        <f>'Raw TV Data'!J7</f>
        <v/>
      </c>
      <c r="H17" s="4">
        <f>'Raw TV Data'!J8</f>
        <v/>
      </c>
      <c r="I17" s="4">
        <f>'Raw TV Data'!J9</f>
        <v/>
      </c>
      <c r="J17" s="4">
        <f>'Raw TV Data'!J10</f>
        <v/>
      </c>
      <c r="K17" s="26" t="n"/>
      <c r="L17" s="4">
        <f>'Raw TV Data'!J11</f>
        <v/>
      </c>
      <c r="M17" s="4">
        <f>'Raw TV Data'!J12</f>
        <v/>
      </c>
      <c r="N17" s="4">
        <f>'Raw TV Data'!J13</f>
        <v/>
      </c>
      <c r="O17" s="4">
        <f>'Raw TV Data'!J14</f>
        <v/>
      </c>
      <c r="P17" s="26" t="n"/>
      <c r="Q17" s="4">
        <f>'Raw TV Data'!J15</f>
        <v/>
      </c>
      <c r="R17" s="4">
        <f>'Raw TV Data'!J16</f>
        <v/>
      </c>
      <c r="S17" s="4">
        <f>'Raw TV Data'!J17</f>
        <v/>
      </c>
      <c r="T17" s="4">
        <f>'Raw TV Data'!J18</f>
        <v/>
      </c>
      <c r="U17" s="26" t="n"/>
      <c r="V17" s="4">
        <f>'Raw TV Data'!J19</f>
        <v/>
      </c>
      <c r="W17" s="4">
        <f>'Raw TV Data'!J20</f>
        <v/>
      </c>
      <c r="X17" s="4">
        <f>'Raw TV Data'!J21</f>
        <v/>
      </c>
      <c r="Y17" s="4">
        <f>'Raw TV Data'!J22</f>
        <v/>
      </c>
      <c r="Z17" s="26" t="n"/>
    </row>
    <row r="18" ht="16" customHeight="1">
      <c r="A18" s="14" t="inlineStr">
        <is>
          <t>OPTIONS — STOCK</t>
        </is>
      </c>
    </row>
    <row r="19" ht="14" customHeight="1">
      <c r="A19" s="25" t="inlineStr">
        <is>
          <t>Call Buy Volume</t>
        </is>
      </c>
      <c r="B19" s="4">
        <f>'Raw TV Data'!K3</f>
        <v/>
      </c>
      <c r="C19" s="4">
        <f>'Raw TV Data'!K4</f>
        <v/>
      </c>
      <c r="D19" s="4">
        <f>'Raw TV Data'!K5</f>
        <v/>
      </c>
      <c r="E19" s="4">
        <f>'Raw TV Data'!K6</f>
        <v/>
      </c>
      <c r="F19" s="26" t="n"/>
      <c r="G19" s="4">
        <f>'Raw TV Data'!K7</f>
        <v/>
      </c>
      <c r="H19" s="4">
        <f>'Raw TV Data'!K8</f>
        <v/>
      </c>
      <c r="I19" s="4">
        <f>'Raw TV Data'!K9</f>
        <v/>
      </c>
      <c r="J19" s="4">
        <f>'Raw TV Data'!K10</f>
        <v/>
      </c>
      <c r="K19" s="26" t="n"/>
      <c r="L19" s="4">
        <f>'Raw TV Data'!K11</f>
        <v/>
      </c>
      <c r="M19" s="4">
        <f>'Raw TV Data'!K12</f>
        <v/>
      </c>
      <c r="N19" s="4">
        <f>'Raw TV Data'!K13</f>
        <v/>
      </c>
      <c r="O19" s="4">
        <f>'Raw TV Data'!K14</f>
        <v/>
      </c>
      <c r="P19" s="26" t="n"/>
      <c r="Q19" s="4">
        <f>'Raw TV Data'!K15</f>
        <v/>
      </c>
      <c r="R19" s="4">
        <f>'Raw TV Data'!K16</f>
        <v/>
      </c>
      <c r="S19" s="4">
        <f>'Raw TV Data'!K17</f>
        <v/>
      </c>
      <c r="T19" s="4">
        <f>'Raw TV Data'!K18</f>
        <v/>
      </c>
      <c r="U19" s="26" t="n"/>
      <c r="V19" s="4">
        <f>'Raw TV Data'!K19</f>
        <v/>
      </c>
      <c r="W19" s="4">
        <f>'Raw TV Data'!K20</f>
        <v/>
      </c>
      <c r="X19" s="4">
        <f>'Raw TV Data'!K21</f>
        <v/>
      </c>
      <c r="Y19" s="4">
        <f>'Raw TV Data'!K22</f>
        <v/>
      </c>
      <c r="Z19" s="26" t="n"/>
    </row>
    <row r="20" ht="14" customHeight="1">
      <c r="A20" s="25" t="inlineStr">
        <is>
          <t>Put Buy Volume</t>
        </is>
      </c>
      <c r="B20" s="6">
        <f>'Raw TV Data'!L3</f>
        <v/>
      </c>
      <c r="C20" s="6">
        <f>'Raw TV Data'!L4</f>
        <v/>
      </c>
      <c r="D20" s="6">
        <f>'Raw TV Data'!L5</f>
        <v/>
      </c>
      <c r="E20" s="6">
        <f>'Raw TV Data'!L6</f>
        <v/>
      </c>
      <c r="F20" s="27" t="n"/>
      <c r="G20" s="6">
        <f>'Raw TV Data'!L7</f>
        <v/>
      </c>
      <c r="H20" s="6">
        <f>'Raw TV Data'!L8</f>
        <v/>
      </c>
      <c r="I20" s="6">
        <f>'Raw TV Data'!L9</f>
        <v/>
      </c>
      <c r="J20" s="6">
        <f>'Raw TV Data'!L10</f>
        <v/>
      </c>
      <c r="K20" s="27" t="n"/>
      <c r="L20" s="6">
        <f>'Raw TV Data'!L11</f>
        <v/>
      </c>
      <c r="M20" s="6">
        <f>'Raw TV Data'!L12</f>
        <v/>
      </c>
      <c r="N20" s="6">
        <f>'Raw TV Data'!L13</f>
        <v/>
      </c>
      <c r="O20" s="6">
        <f>'Raw TV Data'!L14</f>
        <v/>
      </c>
      <c r="P20" s="27" t="n"/>
      <c r="Q20" s="6">
        <f>'Raw TV Data'!L15</f>
        <v/>
      </c>
      <c r="R20" s="6">
        <f>'Raw TV Data'!L16</f>
        <v/>
      </c>
      <c r="S20" s="6">
        <f>'Raw TV Data'!L17</f>
        <v/>
      </c>
      <c r="T20" s="6">
        <f>'Raw TV Data'!L18</f>
        <v/>
      </c>
      <c r="U20" s="27" t="n"/>
      <c r="V20" s="6">
        <f>'Raw TV Data'!L19</f>
        <v/>
      </c>
      <c r="W20" s="6">
        <f>'Raw TV Data'!L20</f>
        <v/>
      </c>
      <c r="X20" s="6">
        <f>'Raw TV Data'!L21</f>
        <v/>
      </c>
      <c r="Y20" s="6">
        <f>'Raw TV Data'!L22</f>
        <v/>
      </c>
      <c r="Z20" s="27" t="n"/>
    </row>
    <row r="21" ht="14" customHeight="1">
      <c r="A21" s="25" t="inlineStr">
        <is>
          <t>Volume PCR</t>
        </is>
      </c>
      <c r="B21" s="18">
        <f>IFERROR('Raw TV Data'!L3/'Raw TV Data'!K3,0)</f>
        <v/>
      </c>
      <c r="C21" s="18">
        <f>IFERROR('Raw TV Data'!L4/'Raw TV Data'!K4,0)</f>
        <v/>
      </c>
      <c r="D21" s="18">
        <f>IFERROR('Raw TV Data'!L5/'Raw TV Data'!K5,0)</f>
        <v/>
      </c>
      <c r="E21" s="18">
        <f>IFERROR('Raw TV Data'!L6/'Raw TV Data'!K6,0)</f>
        <v/>
      </c>
      <c r="F21" s="26" t="n"/>
      <c r="G21" s="18">
        <f>IFERROR('Raw TV Data'!L7/'Raw TV Data'!K7,0)</f>
        <v/>
      </c>
      <c r="H21" s="18">
        <f>IFERROR('Raw TV Data'!L8/'Raw TV Data'!K8,0)</f>
        <v/>
      </c>
      <c r="I21" s="18">
        <f>IFERROR('Raw TV Data'!L9/'Raw TV Data'!K9,0)</f>
        <v/>
      </c>
      <c r="J21" s="18">
        <f>IFERROR('Raw TV Data'!L10/'Raw TV Data'!K10,0)</f>
        <v/>
      </c>
      <c r="K21" s="26" t="n"/>
      <c r="L21" s="18">
        <f>IFERROR('Raw TV Data'!L11/'Raw TV Data'!K11,0)</f>
        <v/>
      </c>
      <c r="M21" s="18">
        <f>IFERROR('Raw TV Data'!L12/'Raw TV Data'!K12,0)</f>
        <v/>
      </c>
      <c r="N21" s="18">
        <f>IFERROR('Raw TV Data'!L13/'Raw TV Data'!K13,0)</f>
        <v/>
      </c>
      <c r="O21" s="18">
        <f>IFERROR('Raw TV Data'!L14/'Raw TV Data'!K14,0)</f>
        <v/>
      </c>
      <c r="P21" s="26" t="n"/>
      <c r="Q21" s="18">
        <f>IFERROR('Raw TV Data'!L15/'Raw TV Data'!K15,0)</f>
        <v/>
      </c>
      <c r="R21" s="18">
        <f>IFERROR('Raw TV Data'!L16/'Raw TV Data'!K16,0)</f>
        <v/>
      </c>
      <c r="S21" s="18">
        <f>IFERROR('Raw TV Data'!L17/'Raw TV Data'!K17,0)</f>
        <v/>
      </c>
      <c r="T21" s="18">
        <f>IFERROR('Raw TV Data'!L18/'Raw TV Data'!K18,0)</f>
        <v/>
      </c>
      <c r="U21" s="26" t="n"/>
      <c r="V21" s="18">
        <f>IFERROR('Raw TV Data'!L19/'Raw TV Data'!K19,0)</f>
        <v/>
      </c>
      <c r="W21" s="18">
        <f>IFERROR('Raw TV Data'!L20/'Raw TV Data'!K20,0)</f>
        <v/>
      </c>
      <c r="X21" s="18">
        <f>IFERROR('Raw TV Data'!L21/'Raw TV Data'!K21,0)</f>
        <v/>
      </c>
      <c r="Y21" s="18">
        <f>IFERROR('Raw TV Data'!L22/'Raw TV Data'!K22,0)</f>
        <v/>
      </c>
      <c r="Z21" s="26" t="n"/>
    </row>
    <row r="22" ht="14" customHeight="1">
      <c r="A22" s="25" t="inlineStr">
        <is>
          <t>Call Sell Volume</t>
        </is>
      </c>
      <c r="B22" s="6">
        <f>'Raw TV Data'!M3</f>
        <v/>
      </c>
      <c r="C22" s="6">
        <f>'Raw TV Data'!M4</f>
        <v/>
      </c>
      <c r="D22" s="6">
        <f>'Raw TV Data'!M5</f>
        <v/>
      </c>
      <c r="E22" s="6">
        <f>'Raw TV Data'!M6</f>
        <v/>
      </c>
      <c r="F22" s="27" t="n"/>
      <c r="G22" s="6">
        <f>'Raw TV Data'!M7</f>
        <v/>
      </c>
      <c r="H22" s="6">
        <f>'Raw TV Data'!M8</f>
        <v/>
      </c>
      <c r="I22" s="6">
        <f>'Raw TV Data'!M9</f>
        <v/>
      </c>
      <c r="J22" s="6">
        <f>'Raw TV Data'!M10</f>
        <v/>
      </c>
      <c r="K22" s="27" t="n"/>
      <c r="L22" s="6">
        <f>'Raw TV Data'!M11</f>
        <v/>
      </c>
      <c r="M22" s="6">
        <f>'Raw TV Data'!M12</f>
        <v/>
      </c>
      <c r="N22" s="6">
        <f>'Raw TV Data'!M13</f>
        <v/>
      </c>
      <c r="O22" s="6">
        <f>'Raw TV Data'!M14</f>
        <v/>
      </c>
      <c r="P22" s="27" t="n"/>
      <c r="Q22" s="6">
        <f>'Raw TV Data'!M15</f>
        <v/>
      </c>
      <c r="R22" s="6">
        <f>'Raw TV Data'!M16</f>
        <v/>
      </c>
      <c r="S22" s="6">
        <f>'Raw TV Data'!M17</f>
        <v/>
      </c>
      <c r="T22" s="6">
        <f>'Raw TV Data'!M18</f>
        <v/>
      </c>
      <c r="U22" s="27" t="n"/>
      <c r="V22" s="6">
        <f>'Raw TV Data'!M19</f>
        <v/>
      </c>
      <c r="W22" s="6">
        <f>'Raw TV Data'!M20</f>
        <v/>
      </c>
      <c r="X22" s="6">
        <f>'Raw TV Data'!M21</f>
        <v/>
      </c>
      <c r="Y22" s="6">
        <f>'Raw TV Data'!M22</f>
        <v/>
      </c>
      <c r="Z22" s="27" t="n"/>
    </row>
    <row r="23" ht="14" customHeight="1">
      <c r="A23" s="25" t="inlineStr">
        <is>
          <t>Put Sell Volume</t>
        </is>
      </c>
      <c r="B23" s="4">
        <f>'Raw TV Data'!N3</f>
        <v/>
      </c>
      <c r="C23" s="4">
        <f>'Raw TV Data'!N4</f>
        <v/>
      </c>
      <c r="D23" s="4">
        <f>'Raw TV Data'!N5</f>
        <v/>
      </c>
      <c r="E23" s="4">
        <f>'Raw TV Data'!N6</f>
        <v/>
      </c>
      <c r="F23" s="26" t="n"/>
      <c r="G23" s="4">
        <f>'Raw TV Data'!N7</f>
        <v/>
      </c>
      <c r="H23" s="4">
        <f>'Raw TV Data'!N8</f>
        <v/>
      </c>
      <c r="I23" s="4">
        <f>'Raw TV Data'!N9</f>
        <v/>
      </c>
      <c r="J23" s="4">
        <f>'Raw TV Data'!N10</f>
        <v/>
      </c>
      <c r="K23" s="26" t="n"/>
      <c r="L23" s="4">
        <f>'Raw TV Data'!N11</f>
        <v/>
      </c>
      <c r="M23" s="4">
        <f>'Raw TV Data'!N12</f>
        <v/>
      </c>
      <c r="N23" s="4">
        <f>'Raw TV Data'!N13</f>
        <v/>
      </c>
      <c r="O23" s="4">
        <f>'Raw TV Data'!N14</f>
        <v/>
      </c>
      <c r="P23" s="26" t="n"/>
      <c r="Q23" s="4">
        <f>'Raw TV Data'!N15</f>
        <v/>
      </c>
      <c r="R23" s="4">
        <f>'Raw TV Data'!N16</f>
        <v/>
      </c>
      <c r="S23" s="4">
        <f>'Raw TV Data'!N17</f>
        <v/>
      </c>
      <c r="T23" s="4">
        <f>'Raw TV Data'!N18</f>
        <v/>
      </c>
      <c r="U23" s="26" t="n"/>
      <c r="V23" s="4">
        <f>'Raw TV Data'!N19</f>
        <v/>
      </c>
      <c r="W23" s="4">
        <f>'Raw TV Data'!N20</f>
        <v/>
      </c>
      <c r="X23" s="4">
        <f>'Raw TV Data'!N21</f>
        <v/>
      </c>
      <c r="Y23" s="4">
        <f>'Raw TV Data'!N22</f>
        <v/>
      </c>
      <c r="Z23" s="26" t="n"/>
    </row>
    <row r="24" ht="16" customHeight="1">
      <c r="A24" s="14" t="inlineStr">
        <is>
          <t>TOTAL VOLUME</t>
        </is>
      </c>
    </row>
    <row r="25" ht="14" customHeight="1">
      <c r="A25" s="25" t="inlineStr">
        <is>
          <t>Total Buy</t>
        </is>
      </c>
      <c r="B25" s="4">
        <f>'Raw TV Data'!O3</f>
        <v/>
      </c>
      <c r="C25" s="4">
        <f>'Raw TV Data'!O4</f>
        <v/>
      </c>
      <c r="D25" s="4">
        <f>'Raw TV Data'!O5</f>
        <v/>
      </c>
      <c r="E25" s="4">
        <f>'Raw TV Data'!O6</f>
        <v/>
      </c>
      <c r="F25" s="26" t="n"/>
      <c r="G25" s="4">
        <f>'Raw TV Data'!O7</f>
        <v/>
      </c>
      <c r="H25" s="4">
        <f>'Raw TV Data'!O8</f>
        <v/>
      </c>
      <c r="I25" s="4">
        <f>'Raw TV Data'!O9</f>
        <v/>
      </c>
      <c r="J25" s="4">
        <f>'Raw TV Data'!O10</f>
        <v/>
      </c>
      <c r="K25" s="26" t="n"/>
      <c r="L25" s="4">
        <f>'Raw TV Data'!O11</f>
        <v/>
      </c>
      <c r="M25" s="4">
        <f>'Raw TV Data'!O12</f>
        <v/>
      </c>
      <c r="N25" s="4">
        <f>'Raw TV Data'!O13</f>
        <v/>
      </c>
      <c r="O25" s="4">
        <f>'Raw TV Data'!O14</f>
        <v/>
      </c>
      <c r="P25" s="26" t="n"/>
      <c r="Q25" s="4">
        <f>'Raw TV Data'!O15</f>
        <v/>
      </c>
      <c r="R25" s="4">
        <f>'Raw TV Data'!O16</f>
        <v/>
      </c>
      <c r="S25" s="4">
        <f>'Raw TV Data'!O17</f>
        <v/>
      </c>
      <c r="T25" s="4">
        <f>'Raw TV Data'!O18</f>
        <v/>
      </c>
      <c r="U25" s="26" t="n"/>
      <c r="V25" s="4">
        <f>'Raw TV Data'!O19</f>
        <v/>
      </c>
      <c r="W25" s="4">
        <f>'Raw TV Data'!O20</f>
        <v/>
      </c>
      <c r="X25" s="4">
        <f>'Raw TV Data'!O21</f>
        <v/>
      </c>
      <c r="Y25" s="4">
        <f>'Raw TV Data'!O22</f>
        <v/>
      </c>
      <c r="Z25" s="26" t="n"/>
    </row>
    <row r="26" ht="14" customHeight="1">
      <c r="A26" s="25" t="inlineStr">
        <is>
          <t>Total Sell</t>
        </is>
      </c>
      <c r="B26" s="6">
        <f>'Raw TV Data'!P3</f>
        <v/>
      </c>
      <c r="C26" s="6">
        <f>'Raw TV Data'!P4</f>
        <v/>
      </c>
      <c r="D26" s="6">
        <f>'Raw TV Data'!P5</f>
        <v/>
      </c>
      <c r="E26" s="6">
        <f>'Raw TV Data'!P6</f>
        <v/>
      </c>
      <c r="F26" s="27" t="n"/>
      <c r="G26" s="6">
        <f>'Raw TV Data'!P7</f>
        <v/>
      </c>
      <c r="H26" s="6">
        <f>'Raw TV Data'!P8</f>
        <v/>
      </c>
      <c r="I26" s="6">
        <f>'Raw TV Data'!P9</f>
        <v/>
      </c>
      <c r="J26" s="6">
        <f>'Raw TV Data'!P10</f>
        <v/>
      </c>
      <c r="K26" s="27" t="n"/>
      <c r="L26" s="6">
        <f>'Raw TV Data'!P11</f>
        <v/>
      </c>
      <c r="M26" s="6">
        <f>'Raw TV Data'!P12</f>
        <v/>
      </c>
      <c r="N26" s="6">
        <f>'Raw TV Data'!P13</f>
        <v/>
      </c>
      <c r="O26" s="6">
        <f>'Raw TV Data'!P14</f>
        <v/>
      </c>
      <c r="P26" s="27" t="n"/>
      <c r="Q26" s="6">
        <f>'Raw TV Data'!P15</f>
        <v/>
      </c>
      <c r="R26" s="6">
        <f>'Raw TV Data'!P16</f>
        <v/>
      </c>
      <c r="S26" s="6">
        <f>'Raw TV Data'!P17</f>
        <v/>
      </c>
      <c r="T26" s="6">
        <f>'Raw TV Data'!P18</f>
        <v/>
      </c>
      <c r="U26" s="27" t="n"/>
      <c r="V26" s="6">
        <f>'Raw TV Data'!P19</f>
        <v/>
      </c>
      <c r="W26" s="6">
        <f>'Raw TV Data'!P20</f>
        <v/>
      </c>
      <c r="X26" s="6">
        <f>'Raw TV Data'!P21</f>
        <v/>
      </c>
      <c r="Y26" s="6">
        <f>'Raw TV Data'!P22</f>
        <v/>
      </c>
      <c r="Z26" s="27" t="n"/>
    </row>
    <row r="27" ht="14" customHeight="1">
      <c r="A27" s="25" t="inlineStr">
        <is>
          <t>Net Volume</t>
        </is>
      </c>
      <c r="B27" s="28">
        <f>'Raw TV Data'!O3-'Raw TV Data'!P3</f>
        <v/>
      </c>
      <c r="C27" s="28">
        <f>'Raw TV Data'!O4-'Raw TV Data'!P4</f>
        <v/>
      </c>
      <c r="D27" s="28">
        <f>'Raw TV Data'!O5-'Raw TV Data'!P5</f>
        <v/>
      </c>
      <c r="E27" s="28">
        <f>'Raw TV Data'!O6-'Raw TV Data'!P6</f>
        <v/>
      </c>
      <c r="F27" s="26" t="n"/>
      <c r="G27" s="28">
        <f>'Raw TV Data'!O7-'Raw TV Data'!P7</f>
        <v/>
      </c>
      <c r="H27" s="28">
        <f>'Raw TV Data'!O8-'Raw TV Data'!P8</f>
        <v/>
      </c>
      <c r="I27" s="28">
        <f>'Raw TV Data'!O9-'Raw TV Data'!P9</f>
        <v/>
      </c>
      <c r="J27" s="28">
        <f>'Raw TV Data'!O10-'Raw TV Data'!P10</f>
        <v/>
      </c>
      <c r="K27" s="26" t="n"/>
      <c r="L27" s="28">
        <f>'Raw TV Data'!O11-'Raw TV Data'!P11</f>
        <v/>
      </c>
      <c r="M27" s="28">
        <f>'Raw TV Data'!O12-'Raw TV Data'!P12</f>
        <v/>
      </c>
      <c r="N27" s="28">
        <f>'Raw TV Data'!O13-'Raw TV Data'!P13</f>
        <v/>
      </c>
      <c r="O27" s="28">
        <f>'Raw TV Data'!O14-'Raw TV Data'!P14</f>
        <v/>
      </c>
      <c r="P27" s="26" t="n"/>
      <c r="Q27" s="28">
        <f>'Raw TV Data'!O15-'Raw TV Data'!P15</f>
        <v/>
      </c>
      <c r="R27" s="28">
        <f>'Raw TV Data'!O16-'Raw TV Data'!P16</f>
        <v/>
      </c>
      <c r="S27" s="28">
        <f>'Raw TV Data'!O17-'Raw TV Data'!P17</f>
        <v/>
      </c>
      <c r="T27" s="28">
        <f>'Raw TV Data'!O18-'Raw TV Data'!P18</f>
        <v/>
      </c>
      <c r="U27" s="26" t="n"/>
      <c r="V27" s="28">
        <f>'Raw TV Data'!O19-'Raw TV Data'!P19</f>
        <v/>
      </c>
      <c r="W27" s="28">
        <f>'Raw TV Data'!O20-'Raw TV Data'!P20</f>
        <v/>
      </c>
      <c r="X27" s="28">
        <f>'Raw TV Data'!O21-'Raw TV Data'!P21</f>
        <v/>
      </c>
      <c r="Y27" s="28">
        <f>'Raw TV Data'!O22-'Raw TV Data'!P22</f>
        <v/>
      </c>
      <c r="Z27" s="26" t="n"/>
    </row>
    <row r="28" ht="14" customHeight="1">
      <c r="A28" s="25" t="inlineStr">
        <is>
          <t>% of Market Buy</t>
        </is>
      </c>
      <c r="B28" s="31">
        <f>IFERROR('Raw TV Data'!O3/SUM('Raw TV Data'!O3,'Raw TV Data'!O4,'Raw TV Data'!O5,'Raw TV Data'!O6),0)</f>
        <v/>
      </c>
      <c r="C28" s="31">
        <f>IFERROR('Raw TV Data'!O4/SUM('Raw TV Data'!O3,'Raw TV Data'!O4,'Raw TV Data'!O5,'Raw TV Data'!O6),0)</f>
        <v/>
      </c>
      <c r="D28" s="31">
        <f>IFERROR('Raw TV Data'!O5/SUM('Raw TV Data'!O3,'Raw TV Data'!O4,'Raw TV Data'!O5,'Raw TV Data'!O6),0)</f>
        <v/>
      </c>
      <c r="E28" s="31">
        <f>IFERROR('Raw TV Data'!O6/SUM('Raw TV Data'!O3,'Raw TV Data'!O4,'Raw TV Data'!O5,'Raw TV Data'!O6),0)</f>
        <v/>
      </c>
      <c r="F28" s="27" t="n"/>
      <c r="G28" s="31">
        <f>IFERROR('Raw TV Data'!O7/SUM('Raw TV Data'!O7,'Raw TV Data'!O8,'Raw TV Data'!O9,'Raw TV Data'!O10),0)</f>
        <v/>
      </c>
      <c r="H28" s="31">
        <f>IFERROR('Raw TV Data'!O8/SUM('Raw TV Data'!O7,'Raw TV Data'!O8,'Raw TV Data'!O9,'Raw TV Data'!O10),0)</f>
        <v/>
      </c>
      <c r="I28" s="31">
        <f>IFERROR('Raw TV Data'!O9/SUM('Raw TV Data'!O7,'Raw TV Data'!O8,'Raw TV Data'!O9,'Raw TV Data'!O10),0)</f>
        <v/>
      </c>
      <c r="J28" s="31">
        <f>IFERROR('Raw TV Data'!O10/SUM('Raw TV Data'!O7,'Raw TV Data'!O8,'Raw TV Data'!O9,'Raw TV Data'!O10),0)</f>
        <v/>
      </c>
      <c r="K28" s="27" t="n"/>
      <c r="L28" s="31">
        <f>IFERROR('Raw TV Data'!O11/SUM('Raw TV Data'!O11,'Raw TV Data'!O12,'Raw TV Data'!O13,'Raw TV Data'!O14),0)</f>
        <v/>
      </c>
      <c r="M28" s="31">
        <f>IFERROR('Raw TV Data'!O12/SUM('Raw TV Data'!O11,'Raw TV Data'!O12,'Raw TV Data'!O13,'Raw TV Data'!O14),0)</f>
        <v/>
      </c>
      <c r="N28" s="31">
        <f>IFERROR('Raw TV Data'!O13/SUM('Raw TV Data'!O11,'Raw TV Data'!O12,'Raw TV Data'!O13,'Raw TV Data'!O14),0)</f>
        <v/>
      </c>
      <c r="O28" s="31">
        <f>IFERROR('Raw TV Data'!O14/SUM('Raw TV Data'!O11,'Raw TV Data'!O12,'Raw TV Data'!O13,'Raw TV Data'!O14),0)</f>
        <v/>
      </c>
      <c r="P28" s="27" t="n"/>
      <c r="Q28" s="31">
        <f>IFERROR('Raw TV Data'!O15/SUM('Raw TV Data'!O15,'Raw TV Data'!O16,'Raw TV Data'!O17,'Raw TV Data'!O18),0)</f>
        <v/>
      </c>
      <c r="R28" s="31">
        <f>IFERROR('Raw TV Data'!O16/SUM('Raw TV Data'!O15,'Raw TV Data'!O16,'Raw TV Data'!O17,'Raw TV Data'!O18),0)</f>
        <v/>
      </c>
      <c r="S28" s="31">
        <f>IFERROR('Raw TV Data'!O17/SUM('Raw TV Data'!O15,'Raw TV Data'!O16,'Raw TV Data'!O17,'Raw TV Data'!O18),0)</f>
        <v/>
      </c>
      <c r="T28" s="31">
        <f>IFERROR('Raw TV Data'!O18/SUM('Raw TV Data'!O15,'Raw TV Data'!O16,'Raw TV Data'!O17,'Raw TV Data'!O18),0)</f>
        <v/>
      </c>
      <c r="U28" s="27" t="n"/>
      <c r="V28" s="31">
        <f>IFERROR('Raw TV Data'!O19/SUM('Raw TV Data'!O19,'Raw TV Data'!O20,'Raw TV Data'!O21,'Raw TV Data'!O22),0)</f>
        <v/>
      </c>
      <c r="W28" s="31">
        <f>IFERROR('Raw TV Data'!O20/SUM('Raw TV Data'!O19,'Raw TV Data'!O20,'Raw TV Data'!O21,'Raw TV Data'!O22),0)</f>
        <v/>
      </c>
      <c r="X28" s="31">
        <f>IFERROR('Raw TV Data'!O21/SUM('Raw TV Data'!O19,'Raw TV Data'!O20,'Raw TV Data'!O21,'Raw TV Data'!O22),0)</f>
        <v/>
      </c>
      <c r="Y28" s="31">
        <f>IFERROR('Raw TV Data'!O22/SUM('Raw TV Data'!O19,'Raw TV Data'!O20,'Raw TV Data'!O21,'Raw TV Data'!O22),0)</f>
        <v/>
      </c>
      <c r="Z28" s="27" t="n"/>
    </row>
  </sheetData>
  <mergeCells count="11">
    <mergeCell ref="A1:Z1"/>
    <mergeCell ref="A18:Z18"/>
    <mergeCell ref="A8:Z8"/>
    <mergeCell ref="V2:Y2"/>
    <mergeCell ref="L2:O2"/>
    <mergeCell ref="A4:Z4"/>
    <mergeCell ref="G2:J2"/>
    <mergeCell ref="A12:Z12"/>
    <mergeCell ref="B2:E2"/>
    <mergeCell ref="Q2:T2"/>
    <mergeCell ref="A24:Z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Net OI &amp; Market Bias by Participant</t>
        </is>
      </c>
    </row>
    <row r="2" ht="16" customHeight="1">
      <c r="A2" s="19" t="inlineStr">
        <is>
          <t>Metric</t>
        </is>
      </c>
      <c r="B2" s="19" t="inlineStr">
        <is>
          <t>Jul 06 2026</t>
        </is>
      </c>
      <c r="C2" s="20" t="n"/>
      <c r="D2" s="20" t="n"/>
      <c r="E2" s="20" t="n"/>
      <c r="F2" s="20" t="n"/>
      <c r="G2" s="19" t="inlineStr">
        <is>
          <t>Jul 07 2026</t>
        </is>
      </c>
      <c r="H2" s="20" t="n"/>
      <c r="I2" s="20" t="n"/>
      <c r="J2" s="20" t="n"/>
      <c r="K2" s="20" t="n"/>
      <c r="L2" s="19" t="inlineStr">
        <is>
          <t>Jul 08 2026</t>
        </is>
      </c>
      <c r="M2" s="20" t="n"/>
      <c r="N2" s="20" t="n"/>
      <c r="O2" s="20" t="n"/>
      <c r="P2" s="20" t="n"/>
      <c r="Q2" s="19" t="inlineStr">
        <is>
          <t>Jul 09 2026</t>
        </is>
      </c>
      <c r="R2" s="20" t="n"/>
      <c r="S2" s="20" t="n"/>
      <c r="T2" s="20" t="n"/>
      <c r="U2" s="20" t="n"/>
      <c r="V2" s="19" t="inlineStr">
        <is>
          <t>Jul 10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NET OPEN INTEREST  (Long − Short)</t>
        </is>
      </c>
    </row>
    <row r="5" ht="14" customHeight="1">
      <c r="A5" s="25" t="inlineStr">
        <is>
          <t>Net Fut Index OI</t>
        </is>
      </c>
      <c r="B5" s="28">
        <f>'Raw OI Data'!C3-'Raw OI Data'!D3</f>
        <v/>
      </c>
      <c r="C5" s="28">
        <f>'Raw OI Data'!C4-'Raw OI Data'!D4</f>
        <v/>
      </c>
      <c r="D5" s="28">
        <f>'Raw OI Data'!C5-'Raw OI Data'!D5</f>
        <v/>
      </c>
      <c r="E5" s="28">
        <f>'Raw OI Data'!C6-'Raw OI Data'!D6</f>
        <v/>
      </c>
      <c r="F5" s="26" t="n"/>
      <c r="G5" s="28">
        <f>'Raw OI Data'!C7-'Raw OI Data'!D7</f>
        <v/>
      </c>
      <c r="H5" s="28">
        <f>'Raw OI Data'!C8-'Raw OI Data'!D8</f>
        <v/>
      </c>
      <c r="I5" s="28">
        <f>'Raw OI Data'!C9-'Raw OI Data'!D9</f>
        <v/>
      </c>
      <c r="J5" s="28">
        <f>'Raw OI Data'!C10-'Raw OI Data'!D10</f>
        <v/>
      </c>
      <c r="K5" s="26" t="n"/>
      <c r="L5" s="28">
        <f>'Raw OI Data'!C11-'Raw OI Data'!D11</f>
        <v/>
      </c>
      <c r="M5" s="28">
        <f>'Raw OI Data'!C12-'Raw OI Data'!D12</f>
        <v/>
      </c>
      <c r="N5" s="28">
        <f>'Raw OI Data'!C13-'Raw OI Data'!D13</f>
        <v/>
      </c>
      <c r="O5" s="28">
        <f>'Raw OI Data'!C14-'Raw OI Data'!D14</f>
        <v/>
      </c>
      <c r="P5" s="26" t="n"/>
      <c r="Q5" s="28">
        <f>'Raw OI Data'!C15-'Raw OI Data'!D15</f>
        <v/>
      </c>
      <c r="R5" s="28">
        <f>'Raw OI Data'!C16-'Raw OI Data'!D16</f>
        <v/>
      </c>
      <c r="S5" s="28">
        <f>'Raw OI Data'!C17-'Raw OI Data'!D17</f>
        <v/>
      </c>
      <c r="T5" s="28">
        <f>'Raw OI Data'!C18-'Raw OI Data'!D18</f>
        <v/>
      </c>
      <c r="U5" s="26" t="n"/>
      <c r="V5" s="28">
        <f>'Raw OI Data'!C19-'Raw OI Data'!D19</f>
        <v/>
      </c>
      <c r="W5" s="28">
        <f>'Raw OI Data'!C20-'Raw OI Data'!D20</f>
        <v/>
      </c>
      <c r="X5" s="28">
        <f>'Raw OI Data'!C21-'Raw OI Data'!D21</f>
        <v/>
      </c>
      <c r="Y5" s="28">
        <f>'Raw OI Data'!C22-'Raw OI Data'!D22</f>
        <v/>
      </c>
      <c r="Z5" s="26" t="n"/>
    </row>
    <row r="6" ht="14" customHeight="1">
      <c r="A6" s="25" t="inlineStr">
        <is>
          <t>Net Fut Stock OI</t>
        </is>
      </c>
      <c r="B6" s="32">
        <f>'Raw OI Data'!E3-'Raw OI Data'!F3</f>
        <v/>
      </c>
      <c r="C6" s="32">
        <f>'Raw OI Data'!E4-'Raw OI Data'!F4</f>
        <v/>
      </c>
      <c r="D6" s="32">
        <f>'Raw OI Data'!E5-'Raw OI Data'!F5</f>
        <v/>
      </c>
      <c r="E6" s="32">
        <f>'Raw OI Data'!E6-'Raw OI Data'!F6</f>
        <v/>
      </c>
      <c r="F6" s="27" t="n"/>
      <c r="G6" s="32">
        <f>'Raw OI Data'!E7-'Raw OI Data'!F7</f>
        <v/>
      </c>
      <c r="H6" s="32">
        <f>'Raw OI Data'!E8-'Raw OI Data'!F8</f>
        <v/>
      </c>
      <c r="I6" s="32">
        <f>'Raw OI Data'!E9-'Raw OI Data'!F9</f>
        <v/>
      </c>
      <c r="J6" s="32">
        <f>'Raw OI Data'!E10-'Raw OI Data'!F10</f>
        <v/>
      </c>
      <c r="K6" s="27" t="n"/>
      <c r="L6" s="32">
        <f>'Raw OI Data'!E11-'Raw OI Data'!F11</f>
        <v/>
      </c>
      <c r="M6" s="32">
        <f>'Raw OI Data'!E12-'Raw OI Data'!F12</f>
        <v/>
      </c>
      <c r="N6" s="32">
        <f>'Raw OI Data'!E13-'Raw OI Data'!F13</f>
        <v/>
      </c>
      <c r="O6" s="32">
        <f>'Raw OI Data'!E14-'Raw OI Data'!F14</f>
        <v/>
      </c>
      <c r="P6" s="27" t="n"/>
      <c r="Q6" s="32">
        <f>'Raw OI Data'!E15-'Raw OI Data'!F15</f>
        <v/>
      </c>
      <c r="R6" s="32">
        <f>'Raw OI Data'!E16-'Raw OI Data'!F16</f>
        <v/>
      </c>
      <c r="S6" s="32">
        <f>'Raw OI Data'!E17-'Raw OI Data'!F17</f>
        <v/>
      </c>
      <c r="T6" s="32">
        <f>'Raw OI Data'!E18-'Raw OI Data'!F18</f>
        <v/>
      </c>
      <c r="U6" s="27" t="n"/>
      <c r="V6" s="32">
        <f>'Raw OI Data'!E19-'Raw OI Data'!F19</f>
        <v/>
      </c>
      <c r="W6" s="32">
        <f>'Raw OI Data'!E20-'Raw OI Data'!F20</f>
        <v/>
      </c>
      <c r="X6" s="32">
        <f>'Raw OI Data'!E21-'Raw OI Data'!F21</f>
        <v/>
      </c>
      <c r="Y6" s="32">
        <f>'Raw OI Data'!E22-'Raw OI Data'!F22</f>
        <v/>
      </c>
      <c r="Z6" s="27" t="n"/>
    </row>
    <row r="7" ht="14" customHeight="1">
      <c r="A7" s="25" t="inlineStr">
        <is>
          <t>Net Futures OI</t>
        </is>
      </c>
      <c r="B7" s="28">
        <f>('Raw OI Data'!C3+'Raw OI Data'!E3)-('Raw OI Data'!D3+'Raw OI Data'!F3)</f>
        <v/>
      </c>
      <c r="C7" s="28">
        <f>('Raw OI Data'!C4+'Raw OI Data'!E4)-('Raw OI Data'!D4+'Raw OI Data'!F4)</f>
        <v/>
      </c>
      <c r="D7" s="28">
        <f>('Raw OI Data'!C5+'Raw OI Data'!E5)-('Raw OI Data'!D5+'Raw OI Data'!F5)</f>
        <v/>
      </c>
      <c r="E7" s="28">
        <f>('Raw OI Data'!C6+'Raw OI Data'!E6)-('Raw OI Data'!D6+'Raw OI Data'!F6)</f>
        <v/>
      </c>
      <c r="F7" s="26" t="n"/>
      <c r="G7" s="28">
        <f>('Raw OI Data'!C7+'Raw OI Data'!E7)-('Raw OI Data'!D7+'Raw OI Data'!F7)</f>
        <v/>
      </c>
      <c r="H7" s="28">
        <f>('Raw OI Data'!C8+'Raw OI Data'!E8)-('Raw OI Data'!D8+'Raw OI Data'!F8)</f>
        <v/>
      </c>
      <c r="I7" s="28">
        <f>('Raw OI Data'!C9+'Raw OI Data'!E9)-('Raw OI Data'!D9+'Raw OI Data'!F9)</f>
        <v/>
      </c>
      <c r="J7" s="28">
        <f>('Raw OI Data'!C10+'Raw OI Data'!E10)-('Raw OI Data'!D10+'Raw OI Data'!F10)</f>
        <v/>
      </c>
      <c r="K7" s="26" t="n"/>
      <c r="L7" s="28">
        <f>('Raw OI Data'!C11+'Raw OI Data'!E11)-('Raw OI Data'!D11+'Raw OI Data'!F11)</f>
        <v/>
      </c>
      <c r="M7" s="28">
        <f>('Raw OI Data'!C12+'Raw OI Data'!E12)-('Raw OI Data'!D12+'Raw OI Data'!F12)</f>
        <v/>
      </c>
      <c r="N7" s="28">
        <f>('Raw OI Data'!C13+'Raw OI Data'!E13)-('Raw OI Data'!D13+'Raw OI Data'!F13)</f>
        <v/>
      </c>
      <c r="O7" s="28">
        <f>('Raw OI Data'!C14+'Raw OI Data'!E14)-('Raw OI Data'!D14+'Raw OI Data'!F14)</f>
        <v/>
      </c>
      <c r="P7" s="26" t="n"/>
      <c r="Q7" s="28">
        <f>('Raw OI Data'!C15+'Raw OI Data'!E15)-('Raw OI Data'!D15+'Raw OI Data'!F15)</f>
        <v/>
      </c>
      <c r="R7" s="28">
        <f>('Raw OI Data'!C16+'Raw OI Data'!E16)-('Raw OI Data'!D16+'Raw OI Data'!F16)</f>
        <v/>
      </c>
      <c r="S7" s="28">
        <f>('Raw OI Data'!C17+'Raw OI Data'!E17)-('Raw OI Data'!D17+'Raw OI Data'!F17)</f>
        <v/>
      </c>
      <c r="T7" s="28">
        <f>('Raw OI Data'!C18+'Raw OI Data'!E18)-('Raw OI Data'!D18+'Raw OI Data'!F18)</f>
        <v/>
      </c>
      <c r="U7" s="26" t="n"/>
      <c r="V7" s="28">
        <f>('Raw OI Data'!C19+'Raw OI Data'!E19)-('Raw OI Data'!D19+'Raw OI Data'!F19)</f>
        <v/>
      </c>
      <c r="W7" s="28">
        <f>('Raw OI Data'!C20+'Raw OI Data'!E20)-('Raw OI Data'!D20+'Raw OI Data'!F20)</f>
        <v/>
      </c>
      <c r="X7" s="28">
        <f>('Raw OI Data'!C21+'Raw OI Data'!E21)-('Raw OI Data'!D21+'Raw OI Data'!F21)</f>
        <v/>
      </c>
      <c r="Y7" s="28">
        <f>('Raw OI Data'!C22+'Raw OI Data'!E22)-('Raw OI Data'!D22+'Raw OI Data'!F22)</f>
        <v/>
      </c>
      <c r="Z7" s="26" t="n"/>
    </row>
    <row r="8" ht="14" customHeight="1">
      <c r="A8" s="25" t="inlineStr">
        <is>
          <t>Net Idx Call OI</t>
        </is>
      </c>
      <c r="B8" s="32">
        <f>'Raw OI Data'!G3-'Raw OI Data'!I3</f>
        <v/>
      </c>
      <c r="C8" s="32">
        <f>'Raw OI Data'!G4-'Raw OI Data'!I4</f>
        <v/>
      </c>
      <c r="D8" s="32">
        <f>'Raw OI Data'!G5-'Raw OI Data'!I5</f>
        <v/>
      </c>
      <c r="E8" s="32">
        <f>'Raw OI Data'!G6-'Raw OI Data'!I6</f>
        <v/>
      </c>
      <c r="F8" s="27" t="n"/>
      <c r="G8" s="32">
        <f>'Raw OI Data'!G7-'Raw OI Data'!I7</f>
        <v/>
      </c>
      <c r="H8" s="32">
        <f>'Raw OI Data'!G8-'Raw OI Data'!I8</f>
        <v/>
      </c>
      <c r="I8" s="32">
        <f>'Raw OI Data'!G9-'Raw OI Data'!I9</f>
        <v/>
      </c>
      <c r="J8" s="32">
        <f>'Raw OI Data'!G10-'Raw OI Data'!I10</f>
        <v/>
      </c>
      <c r="K8" s="27" t="n"/>
      <c r="L8" s="32">
        <f>'Raw OI Data'!G11-'Raw OI Data'!I11</f>
        <v/>
      </c>
      <c r="M8" s="32">
        <f>'Raw OI Data'!G12-'Raw OI Data'!I12</f>
        <v/>
      </c>
      <c r="N8" s="32">
        <f>'Raw OI Data'!G13-'Raw OI Data'!I13</f>
        <v/>
      </c>
      <c r="O8" s="32">
        <f>'Raw OI Data'!G14-'Raw OI Data'!I14</f>
        <v/>
      </c>
      <c r="P8" s="27" t="n"/>
      <c r="Q8" s="32">
        <f>'Raw OI Data'!G15-'Raw OI Data'!I15</f>
        <v/>
      </c>
      <c r="R8" s="32">
        <f>'Raw OI Data'!G16-'Raw OI Data'!I16</f>
        <v/>
      </c>
      <c r="S8" s="32">
        <f>'Raw OI Data'!G17-'Raw OI Data'!I17</f>
        <v/>
      </c>
      <c r="T8" s="32">
        <f>'Raw OI Data'!G18-'Raw OI Data'!I18</f>
        <v/>
      </c>
      <c r="U8" s="27" t="n"/>
      <c r="V8" s="32">
        <f>'Raw OI Data'!G19-'Raw OI Data'!I19</f>
        <v/>
      </c>
      <c r="W8" s="32">
        <f>'Raw OI Data'!G20-'Raw OI Data'!I20</f>
        <v/>
      </c>
      <c r="X8" s="32">
        <f>'Raw OI Data'!G21-'Raw OI Data'!I21</f>
        <v/>
      </c>
      <c r="Y8" s="32">
        <f>'Raw OI Data'!G22-'Raw OI Data'!I22</f>
        <v/>
      </c>
      <c r="Z8" s="27" t="n"/>
    </row>
    <row r="9" ht="14" customHeight="1">
      <c r="A9" s="25" t="inlineStr">
        <is>
          <t>Net Idx Put OI</t>
        </is>
      </c>
      <c r="B9" s="28">
        <f>'Raw OI Data'!H3-'Raw OI Data'!J3</f>
        <v/>
      </c>
      <c r="C9" s="28">
        <f>'Raw OI Data'!H4-'Raw OI Data'!J4</f>
        <v/>
      </c>
      <c r="D9" s="28">
        <f>'Raw OI Data'!H5-'Raw OI Data'!J5</f>
        <v/>
      </c>
      <c r="E9" s="28">
        <f>'Raw OI Data'!H6-'Raw OI Data'!J6</f>
        <v/>
      </c>
      <c r="F9" s="26" t="n"/>
      <c r="G9" s="28">
        <f>'Raw OI Data'!H7-'Raw OI Data'!J7</f>
        <v/>
      </c>
      <c r="H9" s="28">
        <f>'Raw OI Data'!H8-'Raw OI Data'!J8</f>
        <v/>
      </c>
      <c r="I9" s="28">
        <f>'Raw OI Data'!H9-'Raw OI Data'!J9</f>
        <v/>
      </c>
      <c r="J9" s="28">
        <f>'Raw OI Data'!H10-'Raw OI Data'!J10</f>
        <v/>
      </c>
      <c r="K9" s="26" t="n"/>
      <c r="L9" s="28">
        <f>'Raw OI Data'!H11-'Raw OI Data'!J11</f>
        <v/>
      </c>
      <c r="M9" s="28">
        <f>'Raw OI Data'!H12-'Raw OI Data'!J12</f>
        <v/>
      </c>
      <c r="N9" s="28">
        <f>'Raw OI Data'!H13-'Raw OI Data'!J13</f>
        <v/>
      </c>
      <c r="O9" s="28">
        <f>'Raw OI Data'!H14-'Raw OI Data'!J14</f>
        <v/>
      </c>
      <c r="P9" s="26" t="n"/>
      <c r="Q9" s="28">
        <f>'Raw OI Data'!H15-'Raw OI Data'!J15</f>
        <v/>
      </c>
      <c r="R9" s="28">
        <f>'Raw OI Data'!H16-'Raw OI Data'!J16</f>
        <v/>
      </c>
      <c r="S9" s="28">
        <f>'Raw OI Data'!H17-'Raw OI Data'!J17</f>
        <v/>
      </c>
      <c r="T9" s="28">
        <f>'Raw OI Data'!H18-'Raw OI Data'!J18</f>
        <v/>
      </c>
      <c r="U9" s="26" t="n"/>
      <c r="V9" s="28">
        <f>'Raw OI Data'!H19-'Raw OI Data'!J19</f>
        <v/>
      </c>
      <c r="W9" s="28">
        <f>'Raw OI Data'!H20-'Raw OI Data'!J20</f>
        <v/>
      </c>
      <c r="X9" s="28">
        <f>'Raw OI Data'!H21-'Raw OI Data'!J21</f>
        <v/>
      </c>
      <c r="Y9" s="28">
        <f>'Raw OI Data'!H22-'Raw OI Data'!J22</f>
        <v/>
      </c>
      <c r="Z9" s="26" t="n"/>
    </row>
    <row r="10" ht="14" customHeight="1">
      <c r="A10" s="25" t="inlineStr">
        <is>
          <t>Net Stk Call OI</t>
        </is>
      </c>
      <c r="B10" s="32">
        <f>'Raw OI Data'!K3-'Raw OI Data'!M3</f>
        <v/>
      </c>
      <c r="C10" s="32">
        <f>'Raw OI Data'!K4-'Raw OI Data'!M4</f>
        <v/>
      </c>
      <c r="D10" s="32">
        <f>'Raw OI Data'!K5-'Raw OI Data'!M5</f>
        <v/>
      </c>
      <c r="E10" s="32">
        <f>'Raw OI Data'!K6-'Raw OI Data'!M6</f>
        <v/>
      </c>
      <c r="F10" s="27" t="n"/>
      <c r="G10" s="32">
        <f>'Raw OI Data'!K7-'Raw OI Data'!M7</f>
        <v/>
      </c>
      <c r="H10" s="32">
        <f>'Raw OI Data'!K8-'Raw OI Data'!M8</f>
        <v/>
      </c>
      <c r="I10" s="32">
        <f>'Raw OI Data'!K9-'Raw OI Data'!M9</f>
        <v/>
      </c>
      <c r="J10" s="32">
        <f>'Raw OI Data'!K10-'Raw OI Data'!M10</f>
        <v/>
      </c>
      <c r="K10" s="27" t="n"/>
      <c r="L10" s="32">
        <f>'Raw OI Data'!K11-'Raw OI Data'!M11</f>
        <v/>
      </c>
      <c r="M10" s="32">
        <f>'Raw OI Data'!K12-'Raw OI Data'!M12</f>
        <v/>
      </c>
      <c r="N10" s="32">
        <f>'Raw OI Data'!K13-'Raw OI Data'!M13</f>
        <v/>
      </c>
      <c r="O10" s="32">
        <f>'Raw OI Data'!K14-'Raw OI Data'!M14</f>
        <v/>
      </c>
      <c r="P10" s="27" t="n"/>
      <c r="Q10" s="32">
        <f>'Raw OI Data'!K15-'Raw OI Data'!M15</f>
        <v/>
      </c>
      <c r="R10" s="32">
        <f>'Raw OI Data'!K16-'Raw OI Data'!M16</f>
        <v/>
      </c>
      <c r="S10" s="32">
        <f>'Raw OI Data'!K17-'Raw OI Data'!M17</f>
        <v/>
      </c>
      <c r="T10" s="32">
        <f>'Raw OI Data'!K18-'Raw OI Data'!M18</f>
        <v/>
      </c>
      <c r="U10" s="27" t="n"/>
      <c r="V10" s="32">
        <f>'Raw OI Data'!K19-'Raw OI Data'!M19</f>
        <v/>
      </c>
      <c r="W10" s="32">
        <f>'Raw OI Data'!K20-'Raw OI Data'!M20</f>
        <v/>
      </c>
      <c r="X10" s="32">
        <f>'Raw OI Data'!K21-'Raw OI Data'!M21</f>
        <v/>
      </c>
      <c r="Y10" s="32">
        <f>'Raw OI Data'!K22-'Raw OI Data'!M22</f>
        <v/>
      </c>
      <c r="Z10" s="27" t="n"/>
    </row>
    <row r="11" ht="14" customHeight="1">
      <c r="A11" s="25" t="inlineStr">
        <is>
          <t>Net Stk Put OI</t>
        </is>
      </c>
      <c r="B11" s="28">
        <f>'Raw OI Data'!L3-'Raw OI Data'!N3</f>
        <v/>
      </c>
      <c r="C11" s="28">
        <f>'Raw OI Data'!L4-'Raw OI Data'!N4</f>
        <v/>
      </c>
      <c r="D11" s="28">
        <f>'Raw OI Data'!L5-'Raw OI Data'!N5</f>
        <v/>
      </c>
      <c r="E11" s="28">
        <f>'Raw OI Data'!L6-'Raw OI Data'!N6</f>
        <v/>
      </c>
      <c r="F11" s="26" t="n"/>
      <c r="G11" s="28">
        <f>'Raw OI Data'!L7-'Raw OI Data'!N7</f>
        <v/>
      </c>
      <c r="H11" s="28">
        <f>'Raw OI Data'!L8-'Raw OI Data'!N8</f>
        <v/>
      </c>
      <c r="I11" s="28">
        <f>'Raw OI Data'!L9-'Raw OI Data'!N9</f>
        <v/>
      </c>
      <c r="J11" s="28">
        <f>'Raw OI Data'!L10-'Raw OI Data'!N10</f>
        <v/>
      </c>
      <c r="K11" s="26" t="n"/>
      <c r="L11" s="28">
        <f>'Raw OI Data'!L11-'Raw OI Data'!N11</f>
        <v/>
      </c>
      <c r="M11" s="28">
        <f>'Raw OI Data'!L12-'Raw OI Data'!N12</f>
        <v/>
      </c>
      <c r="N11" s="28">
        <f>'Raw OI Data'!L13-'Raw OI Data'!N13</f>
        <v/>
      </c>
      <c r="O11" s="28">
        <f>'Raw OI Data'!L14-'Raw OI Data'!N14</f>
        <v/>
      </c>
      <c r="P11" s="26" t="n"/>
      <c r="Q11" s="28">
        <f>'Raw OI Data'!L15-'Raw OI Data'!N15</f>
        <v/>
      </c>
      <c r="R11" s="28">
        <f>'Raw OI Data'!L16-'Raw OI Data'!N16</f>
        <v/>
      </c>
      <c r="S11" s="28">
        <f>'Raw OI Data'!L17-'Raw OI Data'!N17</f>
        <v/>
      </c>
      <c r="T11" s="28">
        <f>'Raw OI Data'!L18-'Raw OI Data'!N18</f>
        <v/>
      </c>
      <c r="U11" s="26" t="n"/>
      <c r="V11" s="28">
        <f>'Raw OI Data'!L19-'Raw OI Data'!N19</f>
        <v/>
      </c>
      <c r="W11" s="28">
        <f>'Raw OI Data'!L20-'Raw OI Data'!N20</f>
        <v/>
      </c>
      <c r="X11" s="28">
        <f>'Raw OI Data'!L21-'Raw OI Data'!N21</f>
        <v/>
      </c>
      <c r="Y11" s="28">
        <f>'Raw OI Data'!L22-'Raw OI Data'!N22</f>
        <v/>
      </c>
      <c r="Z11" s="26" t="n"/>
    </row>
    <row r="12" ht="14" customHeight="1">
      <c r="A12" s="25" t="inlineStr">
        <is>
          <t>Net Total OI</t>
        </is>
      </c>
      <c r="B12" s="32">
        <f>'Raw OI Data'!O3-'Raw OI Data'!P3</f>
        <v/>
      </c>
      <c r="C12" s="32">
        <f>'Raw OI Data'!O4-'Raw OI Data'!P4</f>
        <v/>
      </c>
      <c r="D12" s="32">
        <f>'Raw OI Data'!O5-'Raw OI Data'!P5</f>
        <v/>
      </c>
      <c r="E12" s="32">
        <f>'Raw OI Data'!O6-'Raw OI Data'!P6</f>
        <v/>
      </c>
      <c r="F12" s="27" t="n"/>
      <c r="G12" s="32">
        <f>'Raw OI Data'!O7-'Raw OI Data'!P7</f>
        <v/>
      </c>
      <c r="H12" s="32">
        <f>'Raw OI Data'!O8-'Raw OI Data'!P8</f>
        <v/>
      </c>
      <c r="I12" s="32">
        <f>'Raw OI Data'!O9-'Raw OI Data'!P9</f>
        <v/>
      </c>
      <c r="J12" s="32">
        <f>'Raw OI Data'!O10-'Raw OI Data'!P10</f>
        <v/>
      </c>
      <c r="K12" s="27" t="n"/>
      <c r="L12" s="32">
        <f>'Raw OI Data'!O11-'Raw OI Data'!P11</f>
        <v/>
      </c>
      <c r="M12" s="32">
        <f>'Raw OI Data'!O12-'Raw OI Data'!P12</f>
        <v/>
      </c>
      <c r="N12" s="32">
        <f>'Raw OI Data'!O13-'Raw OI Data'!P13</f>
        <v/>
      </c>
      <c r="O12" s="32">
        <f>'Raw OI Data'!O14-'Raw OI Data'!P14</f>
        <v/>
      </c>
      <c r="P12" s="27" t="n"/>
      <c r="Q12" s="32">
        <f>'Raw OI Data'!O15-'Raw OI Data'!P15</f>
        <v/>
      </c>
      <c r="R12" s="32">
        <f>'Raw OI Data'!O16-'Raw OI Data'!P16</f>
        <v/>
      </c>
      <c r="S12" s="32">
        <f>'Raw OI Data'!O17-'Raw OI Data'!P17</f>
        <v/>
      </c>
      <c r="T12" s="32">
        <f>'Raw OI Data'!O18-'Raw OI Data'!P18</f>
        <v/>
      </c>
      <c r="U12" s="27" t="n"/>
      <c r="V12" s="32">
        <f>'Raw OI Data'!O19-'Raw OI Data'!P19</f>
        <v/>
      </c>
      <c r="W12" s="32">
        <f>'Raw OI Data'!O20-'Raw OI Data'!P20</f>
        <v/>
      </c>
      <c r="X12" s="32">
        <f>'Raw OI Data'!O21-'Raw OI Data'!P21</f>
        <v/>
      </c>
      <c r="Y12" s="32">
        <f>'Raw OI Data'!O22-'Raw OI Data'!P22</f>
        <v/>
      </c>
      <c r="Z12" s="27" t="n"/>
    </row>
    <row r="13" ht="16" customHeight="1">
      <c r="A13" s="14" t="inlineStr">
        <is>
          <t>LONG-SHORT RATIOS</t>
        </is>
      </c>
    </row>
    <row r="14" ht="14" customHeight="1">
      <c r="A14" s="25" t="inlineStr">
        <is>
          <t>Fut Index L/S</t>
        </is>
      </c>
      <c r="B14" s="33">
        <f>IFERROR('Raw OI Data'!C3/'Raw OI Data'!D3,0)</f>
        <v/>
      </c>
      <c r="C14" s="33">
        <f>IFERROR('Raw OI Data'!C4/'Raw OI Data'!D4,0)</f>
        <v/>
      </c>
      <c r="D14" s="33">
        <f>IFERROR('Raw OI Data'!C5/'Raw OI Data'!D5,0)</f>
        <v/>
      </c>
      <c r="E14" s="33">
        <f>IFERROR('Raw OI Data'!C6/'Raw OI Data'!D6,0)</f>
        <v/>
      </c>
      <c r="F14" s="26" t="n"/>
      <c r="G14" s="33">
        <f>IFERROR('Raw OI Data'!C7/'Raw OI Data'!D7,0)</f>
        <v/>
      </c>
      <c r="H14" s="33">
        <f>IFERROR('Raw OI Data'!C8/'Raw OI Data'!D8,0)</f>
        <v/>
      </c>
      <c r="I14" s="33">
        <f>IFERROR('Raw OI Data'!C9/'Raw OI Data'!D9,0)</f>
        <v/>
      </c>
      <c r="J14" s="33">
        <f>IFERROR('Raw OI Data'!C10/'Raw OI Data'!D10,0)</f>
        <v/>
      </c>
      <c r="K14" s="26" t="n"/>
      <c r="L14" s="33">
        <f>IFERROR('Raw OI Data'!C11/'Raw OI Data'!D11,0)</f>
        <v/>
      </c>
      <c r="M14" s="33">
        <f>IFERROR('Raw OI Data'!C12/'Raw OI Data'!D12,0)</f>
        <v/>
      </c>
      <c r="N14" s="33">
        <f>IFERROR('Raw OI Data'!C13/'Raw OI Data'!D13,0)</f>
        <v/>
      </c>
      <c r="O14" s="33">
        <f>IFERROR('Raw OI Data'!C14/'Raw OI Data'!D14,0)</f>
        <v/>
      </c>
      <c r="P14" s="26" t="n"/>
      <c r="Q14" s="33">
        <f>IFERROR('Raw OI Data'!C15/'Raw OI Data'!D15,0)</f>
        <v/>
      </c>
      <c r="R14" s="33">
        <f>IFERROR('Raw OI Data'!C16/'Raw OI Data'!D16,0)</f>
        <v/>
      </c>
      <c r="S14" s="33">
        <f>IFERROR('Raw OI Data'!C17/'Raw OI Data'!D17,0)</f>
        <v/>
      </c>
      <c r="T14" s="33">
        <f>IFERROR('Raw OI Data'!C18/'Raw OI Data'!D18,0)</f>
        <v/>
      </c>
      <c r="U14" s="26" t="n"/>
      <c r="V14" s="33">
        <f>IFERROR('Raw OI Data'!C19/'Raw OI Data'!D19,0)</f>
        <v/>
      </c>
      <c r="W14" s="33">
        <f>IFERROR('Raw OI Data'!C20/'Raw OI Data'!D20,0)</f>
        <v/>
      </c>
      <c r="X14" s="33">
        <f>IFERROR('Raw OI Data'!C21/'Raw OI Data'!D21,0)</f>
        <v/>
      </c>
      <c r="Y14" s="33">
        <f>IFERROR('Raw OI Data'!C22/'Raw OI Data'!D22,0)</f>
        <v/>
      </c>
      <c r="Z14" s="26" t="n"/>
    </row>
    <row r="15" ht="14" customHeight="1">
      <c r="A15" s="25" t="inlineStr">
        <is>
          <t>Fut Stock L/S</t>
        </is>
      </c>
      <c r="B15" s="29">
        <f>IFERROR('Raw OI Data'!E3/'Raw OI Data'!F3,0)</f>
        <v/>
      </c>
      <c r="C15" s="29">
        <f>IFERROR('Raw OI Data'!E4/'Raw OI Data'!F4,0)</f>
        <v/>
      </c>
      <c r="D15" s="29">
        <f>IFERROR('Raw OI Data'!E5/'Raw OI Data'!F5,0)</f>
        <v/>
      </c>
      <c r="E15" s="29">
        <f>IFERROR('Raw OI Data'!E6/'Raw OI Data'!F6,0)</f>
        <v/>
      </c>
      <c r="F15" s="27" t="n"/>
      <c r="G15" s="29">
        <f>IFERROR('Raw OI Data'!E7/'Raw OI Data'!F7,0)</f>
        <v/>
      </c>
      <c r="H15" s="29">
        <f>IFERROR('Raw OI Data'!E8/'Raw OI Data'!F8,0)</f>
        <v/>
      </c>
      <c r="I15" s="29">
        <f>IFERROR('Raw OI Data'!E9/'Raw OI Data'!F9,0)</f>
        <v/>
      </c>
      <c r="J15" s="29">
        <f>IFERROR('Raw OI Data'!E10/'Raw OI Data'!F10,0)</f>
        <v/>
      </c>
      <c r="K15" s="27" t="n"/>
      <c r="L15" s="29">
        <f>IFERROR('Raw OI Data'!E11/'Raw OI Data'!F11,0)</f>
        <v/>
      </c>
      <c r="M15" s="29">
        <f>IFERROR('Raw OI Data'!E12/'Raw OI Data'!F12,0)</f>
        <v/>
      </c>
      <c r="N15" s="29">
        <f>IFERROR('Raw OI Data'!E13/'Raw OI Data'!F13,0)</f>
        <v/>
      </c>
      <c r="O15" s="29">
        <f>IFERROR('Raw OI Data'!E14/'Raw OI Data'!F14,0)</f>
        <v/>
      </c>
      <c r="P15" s="27" t="n"/>
      <c r="Q15" s="29">
        <f>IFERROR('Raw OI Data'!E15/'Raw OI Data'!F15,0)</f>
        <v/>
      </c>
      <c r="R15" s="29">
        <f>IFERROR('Raw OI Data'!E16/'Raw OI Data'!F16,0)</f>
        <v/>
      </c>
      <c r="S15" s="29">
        <f>IFERROR('Raw OI Data'!E17/'Raw OI Data'!F17,0)</f>
        <v/>
      </c>
      <c r="T15" s="29">
        <f>IFERROR('Raw OI Data'!E18/'Raw OI Data'!F18,0)</f>
        <v/>
      </c>
      <c r="U15" s="27" t="n"/>
      <c r="V15" s="29">
        <f>IFERROR('Raw OI Data'!E19/'Raw OI Data'!F19,0)</f>
        <v/>
      </c>
      <c r="W15" s="29">
        <f>IFERROR('Raw OI Data'!E20/'Raw OI Data'!F20,0)</f>
        <v/>
      </c>
      <c r="X15" s="29">
        <f>IFERROR('Raw OI Data'!E21/'Raw OI Data'!F21,0)</f>
        <v/>
      </c>
      <c r="Y15" s="29">
        <f>IFERROR('Raw OI Data'!E22/'Raw OI Data'!F22,0)</f>
        <v/>
      </c>
      <c r="Z15" s="27" t="n"/>
    </row>
    <row r="16" ht="14" customHeight="1">
      <c r="A16" s="25" t="inlineStr">
        <is>
          <t>Total L/S Ratio</t>
        </is>
      </c>
      <c r="B16" s="33">
        <f>IFERROR('Raw OI Data'!O3/'Raw OI Data'!P3,0)</f>
        <v/>
      </c>
      <c r="C16" s="33">
        <f>IFERROR('Raw OI Data'!O4/'Raw OI Data'!P4,0)</f>
        <v/>
      </c>
      <c r="D16" s="33">
        <f>IFERROR('Raw OI Data'!O5/'Raw OI Data'!P5,0)</f>
        <v/>
      </c>
      <c r="E16" s="33">
        <f>IFERROR('Raw OI Data'!O6/'Raw OI Data'!P6,0)</f>
        <v/>
      </c>
      <c r="F16" s="26" t="n"/>
      <c r="G16" s="33">
        <f>IFERROR('Raw OI Data'!O7/'Raw OI Data'!P7,0)</f>
        <v/>
      </c>
      <c r="H16" s="33">
        <f>IFERROR('Raw OI Data'!O8/'Raw OI Data'!P8,0)</f>
        <v/>
      </c>
      <c r="I16" s="33">
        <f>IFERROR('Raw OI Data'!O9/'Raw OI Data'!P9,0)</f>
        <v/>
      </c>
      <c r="J16" s="33">
        <f>IFERROR('Raw OI Data'!O10/'Raw OI Data'!P10,0)</f>
        <v/>
      </c>
      <c r="K16" s="26" t="n"/>
      <c r="L16" s="33">
        <f>IFERROR('Raw OI Data'!O11/'Raw OI Data'!P11,0)</f>
        <v/>
      </c>
      <c r="M16" s="33">
        <f>IFERROR('Raw OI Data'!O12/'Raw OI Data'!P12,0)</f>
        <v/>
      </c>
      <c r="N16" s="33">
        <f>IFERROR('Raw OI Data'!O13/'Raw OI Data'!P13,0)</f>
        <v/>
      </c>
      <c r="O16" s="33">
        <f>IFERROR('Raw OI Data'!O14/'Raw OI Data'!P14,0)</f>
        <v/>
      </c>
      <c r="P16" s="26" t="n"/>
      <c r="Q16" s="33">
        <f>IFERROR('Raw OI Data'!O15/'Raw OI Data'!P15,0)</f>
        <v/>
      </c>
      <c r="R16" s="33">
        <f>IFERROR('Raw OI Data'!O16/'Raw OI Data'!P16,0)</f>
        <v/>
      </c>
      <c r="S16" s="33">
        <f>IFERROR('Raw OI Data'!O17/'Raw OI Data'!P17,0)</f>
        <v/>
      </c>
      <c r="T16" s="33">
        <f>IFERROR('Raw OI Data'!O18/'Raw OI Data'!P18,0)</f>
        <v/>
      </c>
      <c r="U16" s="26" t="n"/>
      <c r="V16" s="33">
        <f>IFERROR('Raw OI Data'!O19/'Raw OI Data'!P19,0)</f>
        <v/>
      </c>
      <c r="W16" s="33">
        <f>IFERROR('Raw OI Data'!O20/'Raw OI Data'!P20,0)</f>
        <v/>
      </c>
      <c r="X16" s="33">
        <f>IFERROR('Raw OI Data'!O21/'Raw OI Data'!P21,0)</f>
        <v/>
      </c>
      <c r="Y16" s="33">
        <f>IFERROR('Raw OI Data'!O22/'Raw OI Data'!P22,0)</f>
        <v/>
      </c>
      <c r="Z16" s="26" t="n"/>
    </row>
    <row r="17" ht="16" customHeight="1">
      <c r="A17" s="14" t="inlineStr">
        <is>
          <t>MARKET SHARE</t>
        </is>
      </c>
    </row>
    <row r="18" ht="14" customHeight="1">
      <c r="A18" s="25" t="inlineStr">
        <is>
          <t>% Mkt Long</t>
        </is>
      </c>
      <c r="B18" s="30">
        <f>IFERROR('Raw OI Data'!O3/SUM('Raw OI Data'!O3,'Raw OI Data'!O4,'Raw OI Data'!O5,'Raw OI Data'!O6),0)</f>
        <v/>
      </c>
      <c r="C18" s="30">
        <f>IFERROR('Raw OI Data'!O4/SUM('Raw OI Data'!O3,'Raw OI Data'!O4,'Raw OI Data'!O5,'Raw OI Data'!O6),0)</f>
        <v/>
      </c>
      <c r="D18" s="30">
        <f>IFERROR('Raw OI Data'!O5/SUM('Raw OI Data'!O3,'Raw OI Data'!O4,'Raw OI Data'!O5,'Raw OI Data'!O6),0)</f>
        <v/>
      </c>
      <c r="E18" s="30">
        <f>IFERROR('Raw OI Data'!O6/SUM('Raw OI Data'!O3,'Raw OI Data'!O4,'Raw OI Data'!O5,'Raw OI Data'!O6),0)</f>
        <v/>
      </c>
      <c r="F18" s="26" t="n"/>
      <c r="G18" s="30">
        <f>IFERROR('Raw OI Data'!O7/SUM('Raw OI Data'!O7,'Raw OI Data'!O8,'Raw OI Data'!O9,'Raw OI Data'!O10),0)</f>
        <v/>
      </c>
      <c r="H18" s="30">
        <f>IFERROR('Raw OI Data'!O8/SUM('Raw OI Data'!O7,'Raw OI Data'!O8,'Raw OI Data'!O9,'Raw OI Data'!O10),0)</f>
        <v/>
      </c>
      <c r="I18" s="30">
        <f>IFERROR('Raw OI Data'!O9/SUM('Raw OI Data'!O7,'Raw OI Data'!O8,'Raw OI Data'!O9,'Raw OI Data'!O10),0)</f>
        <v/>
      </c>
      <c r="J18" s="30">
        <f>IFERROR('Raw OI Data'!O10/SUM('Raw OI Data'!O7,'Raw OI Data'!O8,'Raw OI Data'!O9,'Raw OI Data'!O10),0)</f>
        <v/>
      </c>
      <c r="K18" s="26" t="n"/>
      <c r="L18" s="30">
        <f>IFERROR('Raw OI Data'!O11/SUM('Raw OI Data'!O11,'Raw OI Data'!O12,'Raw OI Data'!O13,'Raw OI Data'!O14),0)</f>
        <v/>
      </c>
      <c r="M18" s="30">
        <f>IFERROR('Raw OI Data'!O12/SUM('Raw OI Data'!O11,'Raw OI Data'!O12,'Raw OI Data'!O13,'Raw OI Data'!O14),0)</f>
        <v/>
      </c>
      <c r="N18" s="30">
        <f>IFERROR('Raw OI Data'!O13/SUM('Raw OI Data'!O11,'Raw OI Data'!O12,'Raw OI Data'!O13,'Raw OI Data'!O14),0)</f>
        <v/>
      </c>
      <c r="O18" s="30">
        <f>IFERROR('Raw OI Data'!O14/SUM('Raw OI Data'!O11,'Raw OI Data'!O12,'Raw OI Data'!O13,'Raw OI Data'!O14),0)</f>
        <v/>
      </c>
      <c r="P18" s="26" t="n"/>
      <c r="Q18" s="30">
        <f>IFERROR('Raw OI Data'!O15/SUM('Raw OI Data'!O15,'Raw OI Data'!O16,'Raw OI Data'!O17,'Raw OI Data'!O18),0)</f>
        <v/>
      </c>
      <c r="R18" s="30">
        <f>IFERROR('Raw OI Data'!O16/SUM('Raw OI Data'!O15,'Raw OI Data'!O16,'Raw OI Data'!O17,'Raw OI Data'!O18),0)</f>
        <v/>
      </c>
      <c r="S18" s="30">
        <f>IFERROR('Raw OI Data'!O17/SUM('Raw OI Data'!O15,'Raw OI Data'!O16,'Raw OI Data'!O17,'Raw OI Data'!O18),0)</f>
        <v/>
      </c>
      <c r="T18" s="30">
        <f>IFERROR('Raw OI Data'!O18/SUM('Raw OI Data'!O15,'Raw OI Data'!O16,'Raw OI Data'!O17,'Raw OI Data'!O18),0)</f>
        <v/>
      </c>
      <c r="U18" s="26" t="n"/>
      <c r="V18" s="30">
        <f>IFERROR('Raw OI Data'!O19/SUM('Raw OI Data'!O19,'Raw OI Data'!O20,'Raw OI Data'!O21,'Raw OI Data'!O22),0)</f>
        <v/>
      </c>
      <c r="W18" s="30">
        <f>IFERROR('Raw OI Data'!O20/SUM('Raw OI Data'!O19,'Raw OI Data'!O20,'Raw OI Data'!O21,'Raw OI Data'!O22),0)</f>
        <v/>
      </c>
      <c r="X18" s="30">
        <f>IFERROR('Raw OI Data'!O21/SUM('Raw OI Data'!O19,'Raw OI Data'!O20,'Raw OI Data'!O21,'Raw OI Data'!O22),0)</f>
        <v/>
      </c>
      <c r="Y18" s="30">
        <f>IFERROR('Raw OI Data'!O22/SUM('Raw OI Data'!O19,'Raw OI Data'!O20,'Raw OI Data'!O21,'Raw OI Data'!O22),0)</f>
        <v/>
      </c>
      <c r="Z18" s="26" t="n"/>
    </row>
    <row r="19" ht="14" customHeight="1">
      <c r="A19" s="25" t="inlineStr">
        <is>
          <t>% Mkt Short</t>
        </is>
      </c>
      <c r="B19" s="31">
        <f>IFERROR('Raw OI Data'!P3/SUM('Raw OI Data'!P3,'Raw OI Data'!P4,'Raw OI Data'!P5,'Raw OI Data'!P6),0)</f>
        <v/>
      </c>
      <c r="C19" s="31">
        <f>IFERROR('Raw OI Data'!P4/SUM('Raw OI Data'!P3,'Raw OI Data'!P4,'Raw OI Data'!P5,'Raw OI Data'!P6),0)</f>
        <v/>
      </c>
      <c r="D19" s="31">
        <f>IFERROR('Raw OI Data'!P5/SUM('Raw OI Data'!P3,'Raw OI Data'!P4,'Raw OI Data'!P5,'Raw OI Data'!P6),0)</f>
        <v/>
      </c>
      <c r="E19" s="31">
        <f>IFERROR('Raw OI Data'!P6/SUM('Raw OI Data'!P3,'Raw OI Data'!P4,'Raw OI Data'!P5,'Raw OI Data'!P6),0)</f>
        <v/>
      </c>
      <c r="F19" s="27" t="n"/>
      <c r="G19" s="31">
        <f>IFERROR('Raw OI Data'!P7/SUM('Raw OI Data'!P7,'Raw OI Data'!P8,'Raw OI Data'!P9,'Raw OI Data'!P10),0)</f>
        <v/>
      </c>
      <c r="H19" s="31">
        <f>IFERROR('Raw OI Data'!P8/SUM('Raw OI Data'!P7,'Raw OI Data'!P8,'Raw OI Data'!P9,'Raw OI Data'!P10),0)</f>
        <v/>
      </c>
      <c r="I19" s="31">
        <f>IFERROR('Raw OI Data'!P9/SUM('Raw OI Data'!P7,'Raw OI Data'!P8,'Raw OI Data'!P9,'Raw OI Data'!P10),0)</f>
        <v/>
      </c>
      <c r="J19" s="31">
        <f>IFERROR('Raw OI Data'!P10/SUM('Raw OI Data'!P7,'Raw OI Data'!P8,'Raw OI Data'!P9,'Raw OI Data'!P10),0)</f>
        <v/>
      </c>
      <c r="K19" s="27" t="n"/>
      <c r="L19" s="31">
        <f>IFERROR('Raw OI Data'!P11/SUM('Raw OI Data'!P11,'Raw OI Data'!P12,'Raw OI Data'!P13,'Raw OI Data'!P14),0)</f>
        <v/>
      </c>
      <c r="M19" s="31">
        <f>IFERROR('Raw OI Data'!P12/SUM('Raw OI Data'!P11,'Raw OI Data'!P12,'Raw OI Data'!P13,'Raw OI Data'!P14),0)</f>
        <v/>
      </c>
      <c r="N19" s="31">
        <f>IFERROR('Raw OI Data'!P13/SUM('Raw OI Data'!P11,'Raw OI Data'!P12,'Raw OI Data'!P13,'Raw OI Data'!P14),0)</f>
        <v/>
      </c>
      <c r="O19" s="31">
        <f>IFERROR('Raw OI Data'!P14/SUM('Raw OI Data'!P11,'Raw OI Data'!P12,'Raw OI Data'!P13,'Raw OI Data'!P14),0)</f>
        <v/>
      </c>
      <c r="P19" s="27" t="n"/>
      <c r="Q19" s="31">
        <f>IFERROR('Raw OI Data'!P15/SUM('Raw OI Data'!P15,'Raw OI Data'!P16,'Raw OI Data'!P17,'Raw OI Data'!P18),0)</f>
        <v/>
      </c>
      <c r="R19" s="31">
        <f>IFERROR('Raw OI Data'!P16/SUM('Raw OI Data'!P15,'Raw OI Data'!P16,'Raw OI Data'!P17,'Raw OI Data'!P18),0)</f>
        <v/>
      </c>
      <c r="S19" s="31">
        <f>IFERROR('Raw OI Data'!P17/SUM('Raw OI Data'!P15,'Raw OI Data'!P16,'Raw OI Data'!P17,'Raw OI Data'!P18),0)</f>
        <v/>
      </c>
      <c r="T19" s="31">
        <f>IFERROR('Raw OI Data'!P18/SUM('Raw OI Data'!P15,'Raw OI Data'!P16,'Raw OI Data'!P17,'Raw OI Data'!P18),0)</f>
        <v/>
      </c>
      <c r="U19" s="27" t="n"/>
      <c r="V19" s="31">
        <f>IFERROR('Raw OI Data'!P19/SUM('Raw OI Data'!P19,'Raw OI Data'!P20,'Raw OI Data'!P21,'Raw OI Data'!P22),0)</f>
        <v/>
      </c>
      <c r="W19" s="31">
        <f>IFERROR('Raw OI Data'!P20/SUM('Raw OI Data'!P19,'Raw OI Data'!P20,'Raw OI Data'!P21,'Raw OI Data'!P22),0)</f>
        <v/>
      </c>
      <c r="X19" s="31">
        <f>IFERROR('Raw OI Data'!P21/SUM('Raw OI Data'!P19,'Raw OI Data'!P20,'Raw OI Data'!P21,'Raw OI Data'!P22),0)</f>
        <v/>
      </c>
      <c r="Y19" s="31">
        <f>IFERROR('Raw OI Data'!P22/SUM('Raw OI Data'!P19,'Raw OI Data'!P20,'Raw OI Data'!P21,'Raw OI Data'!P22),0)</f>
        <v/>
      </c>
      <c r="Z19" s="27" t="n"/>
    </row>
    <row r="20" ht="14" customHeight="1">
      <c r="A20" s="25" t="inlineStr">
        <is>
          <t>% Mkt Fut Idx Long</t>
        </is>
      </c>
      <c r="B20" s="30">
        <f>IFERROR('Raw OI Data'!C3/SUM('Raw OI Data'!C3,'Raw OI Data'!C4,'Raw OI Data'!C5,'Raw OI Data'!C6),0)</f>
        <v/>
      </c>
      <c r="C20" s="30">
        <f>IFERROR('Raw OI Data'!C4/SUM('Raw OI Data'!C3,'Raw OI Data'!C4,'Raw OI Data'!C5,'Raw OI Data'!C6),0)</f>
        <v/>
      </c>
      <c r="D20" s="30">
        <f>IFERROR('Raw OI Data'!C5/SUM('Raw OI Data'!C3,'Raw OI Data'!C4,'Raw OI Data'!C5,'Raw OI Data'!C6),0)</f>
        <v/>
      </c>
      <c r="E20" s="30">
        <f>IFERROR('Raw OI Data'!C6/SUM('Raw OI Data'!C3,'Raw OI Data'!C4,'Raw OI Data'!C5,'Raw OI Data'!C6),0)</f>
        <v/>
      </c>
      <c r="F20" s="26" t="n"/>
      <c r="G20" s="30">
        <f>IFERROR('Raw OI Data'!C7/SUM('Raw OI Data'!C7,'Raw OI Data'!C8,'Raw OI Data'!C9,'Raw OI Data'!C10),0)</f>
        <v/>
      </c>
      <c r="H20" s="30">
        <f>IFERROR('Raw OI Data'!C8/SUM('Raw OI Data'!C7,'Raw OI Data'!C8,'Raw OI Data'!C9,'Raw OI Data'!C10),0)</f>
        <v/>
      </c>
      <c r="I20" s="30">
        <f>IFERROR('Raw OI Data'!C9/SUM('Raw OI Data'!C7,'Raw OI Data'!C8,'Raw OI Data'!C9,'Raw OI Data'!C10),0)</f>
        <v/>
      </c>
      <c r="J20" s="30">
        <f>IFERROR('Raw OI Data'!C10/SUM('Raw OI Data'!C7,'Raw OI Data'!C8,'Raw OI Data'!C9,'Raw OI Data'!C10),0)</f>
        <v/>
      </c>
      <c r="K20" s="26" t="n"/>
      <c r="L20" s="30">
        <f>IFERROR('Raw OI Data'!C11/SUM('Raw OI Data'!C11,'Raw OI Data'!C12,'Raw OI Data'!C13,'Raw OI Data'!C14),0)</f>
        <v/>
      </c>
      <c r="M20" s="30">
        <f>IFERROR('Raw OI Data'!C12/SUM('Raw OI Data'!C11,'Raw OI Data'!C12,'Raw OI Data'!C13,'Raw OI Data'!C14),0)</f>
        <v/>
      </c>
      <c r="N20" s="30">
        <f>IFERROR('Raw OI Data'!C13/SUM('Raw OI Data'!C11,'Raw OI Data'!C12,'Raw OI Data'!C13,'Raw OI Data'!C14),0)</f>
        <v/>
      </c>
      <c r="O20" s="30">
        <f>IFERROR('Raw OI Data'!C14/SUM('Raw OI Data'!C11,'Raw OI Data'!C12,'Raw OI Data'!C13,'Raw OI Data'!C14),0)</f>
        <v/>
      </c>
      <c r="P20" s="26" t="n"/>
      <c r="Q20" s="30">
        <f>IFERROR('Raw OI Data'!C15/SUM('Raw OI Data'!C15,'Raw OI Data'!C16,'Raw OI Data'!C17,'Raw OI Data'!C18),0)</f>
        <v/>
      </c>
      <c r="R20" s="30">
        <f>IFERROR('Raw OI Data'!C16/SUM('Raw OI Data'!C15,'Raw OI Data'!C16,'Raw OI Data'!C17,'Raw OI Data'!C18),0)</f>
        <v/>
      </c>
      <c r="S20" s="30">
        <f>IFERROR('Raw OI Data'!C17/SUM('Raw OI Data'!C15,'Raw OI Data'!C16,'Raw OI Data'!C17,'Raw OI Data'!C18),0)</f>
        <v/>
      </c>
      <c r="T20" s="30">
        <f>IFERROR('Raw OI Data'!C18/SUM('Raw OI Data'!C15,'Raw OI Data'!C16,'Raw OI Data'!C17,'Raw OI Data'!C18),0)</f>
        <v/>
      </c>
      <c r="U20" s="26" t="n"/>
      <c r="V20" s="30">
        <f>IFERROR('Raw OI Data'!C19/SUM('Raw OI Data'!C19,'Raw OI Data'!C20,'Raw OI Data'!C21,'Raw OI Data'!C22),0)</f>
        <v/>
      </c>
      <c r="W20" s="30">
        <f>IFERROR('Raw OI Data'!C20/SUM('Raw OI Data'!C19,'Raw OI Data'!C20,'Raw OI Data'!C21,'Raw OI Data'!C22),0)</f>
        <v/>
      </c>
      <c r="X20" s="30">
        <f>IFERROR('Raw OI Data'!C21/SUM('Raw OI Data'!C19,'Raw OI Data'!C20,'Raw OI Data'!C21,'Raw OI Data'!C22),0)</f>
        <v/>
      </c>
      <c r="Y20" s="30">
        <f>IFERROR('Raw OI Data'!C22/SUM('Raw OI Data'!C19,'Raw OI Data'!C20,'Raw OI Data'!C21,'Raw OI Data'!C22),0)</f>
        <v/>
      </c>
      <c r="Z20" s="26" t="n"/>
    </row>
    <row r="21" ht="14" customHeight="1">
      <c r="A21" s="25" t="inlineStr">
        <is>
          <t>% Mkt Fut Stk Short</t>
        </is>
      </c>
      <c r="B21" s="31">
        <f>IFERROR('Raw OI Data'!F3/SUM('Raw OI Data'!F3,'Raw OI Data'!F4,'Raw OI Data'!F5,'Raw OI Data'!F6),0)</f>
        <v/>
      </c>
      <c r="C21" s="31">
        <f>IFERROR('Raw OI Data'!F4/SUM('Raw OI Data'!F3,'Raw OI Data'!F4,'Raw OI Data'!F5,'Raw OI Data'!F6),0)</f>
        <v/>
      </c>
      <c r="D21" s="31">
        <f>IFERROR('Raw OI Data'!F5/SUM('Raw OI Data'!F3,'Raw OI Data'!F4,'Raw OI Data'!F5,'Raw OI Data'!F6),0)</f>
        <v/>
      </c>
      <c r="E21" s="31">
        <f>IFERROR('Raw OI Data'!F6/SUM('Raw OI Data'!F3,'Raw OI Data'!F4,'Raw OI Data'!F5,'Raw OI Data'!F6),0)</f>
        <v/>
      </c>
      <c r="F21" s="27" t="n"/>
      <c r="G21" s="31">
        <f>IFERROR('Raw OI Data'!F7/SUM('Raw OI Data'!F7,'Raw OI Data'!F8,'Raw OI Data'!F9,'Raw OI Data'!F10),0)</f>
        <v/>
      </c>
      <c r="H21" s="31">
        <f>IFERROR('Raw OI Data'!F8/SUM('Raw OI Data'!F7,'Raw OI Data'!F8,'Raw OI Data'!F9,'Raw OI Data'!F10),0)</f>
        <v/>
      </c>
      <c r="I21" s="31">
        <f>IFERROR('Raw OI Data'!F9/SUM('Raw OI Data'!F7,'Raw OI Data'!F8,'Raw OI Data'!F9,'Raw OI Data'!F10),0)</f>
        <v/>
      </c>
      <c r="J21" s="31">
        <f>IFERROR('Raw OI Data'!F10/SUM('Raw OI Data'!F7,'Raw OI Data'!F8,'Raw OI Data'!F9,'Raw OI Data'!F10),0)</f>
        <v/>
      </c>
      <c r="K21" s="27" t="n"/>
      <c r="L21" s="31">
        <f>IFERROR('Raw OI Data'!F11/SUM('Raw OI Data'!F11,'Raw OI Data'!F12,'Raw OI Data'!F13,'Raw OI Data'!F14),0)</f>
        <v/>
      </c>
      <c r="M21" s="31">
        <f>IFERROR('Raw OI Data'!F12/SUM('Raw OI Data'!F11,'Raw OI Data'!F12,'Raw OI Data'!F13,'Raw OI Data'!F14),0)</f>
        <v/>
      </c>
      <c r="N21" s="31">
        <f>IFERROR('Raw OI Data'!F13/SUM('Raw OI Data'!F11,'Raw OI Data'!F12,'Raw OI Data'!F13,'Raw OI Data'!F14),0)</f>
        <v/>
      </c>
      <c r="O21" s="31">
        <f>IFERROR('Raw OI Data'!F14/SUM('Raw OI Data'!F11,'Raw OI Data'!F12,'Raw OI Data'!F13,'Raw OI Data'!F14),0)</f>
        <v/>
      </c>
      <c r="P21" s="27" t="n"/>
      <c r="Q21" s="31">
        <f>IFERROR('Raw OI Data'!F15/SUM('Raw OI Data'!F15,'Raw OI Data'!F16,'Raw OI Data'!F17,'Raw OI Data'!F18),0)</f>
        <v/>
      </c>
      <c r="R21" s="31">
        <f>IFERROR('Raw OI Data'!F16/SUM('Raw OI Data'!F15,'Raw OI Data'!F16,'Raw OI Data'!F17,'Raw OI Data'!F18),0)</f>
        <v/>
      </c>
      <c r="S21" s="31">
        <f>IFERROR('Raw OI Data'!F17/SUM('Raw OI Data'!F15,'Raw OI Data'!F16,'Raw OI Data'!F17,'Raw OI Data'!F18),0)</f>
        <v/>
      </c>
      <c r="T21" s="31">
        <f>IFERROR('Raw OI Data'!F18/SUM('Raw OI Data'!F15,'Raw OI Data'!F16,'Raw OI Data'!F17,'Raw OI Data'!F18),0)</f>
        <v/>
      </c>
      <c r="U21" s="27" t="n"/>
      <c r="V21" s="31">
        <f>IFERROR('Raw OI Data'!F19/SUM('Raw OI Data'!F19,'Raw OI Data'!F20,'Raw OI Data'!F21,'Raw OI Data'!F22),0)</f>
        <v/>
      </c>
      <c r="W21" s="31">
        <f>IFERROR('Raw OI Data'!F20/SUM('Raw OI Data'!F19,'Raw OI Data'!F20,'Raw OI Data'!F21,'Raw OI Data'!F22),0)</f>
        <v/>
      </c>
      <c r="X21" s="31">
        <f>IFERROR('Raw OI Data'!F21/SUM('Raw OI Data'!F19,'Raw OI Data'!F20,'Raw OI Data'!F21,'Raw OI Data'!F22),0)</f>
        <v/>
      </c>
      <c r="Y21" s="31">
        <f>IFERROR('Raw OI Data'!F22/SUM('Raw OI Data'!F19,'Raw OI Data'!F20,'Raw OI Data'!F21,'Raw OI Data'!F22),0)</f>
        <v/>
      </c>
      <c r="Z21" s="27" t="n"/>
    </row>
  </sheetData>
  <mergeCells count="9">
    <mergeCell ref="A13:Z13"/>
    <mergeCell ref="A1:Z1"/>
    <mergeCell ref="A17:Z17"/>
    <mergeCell ref="V2:Y2"/>
    <mergeCell ref="L2:O2"/>
    <mergeCell ref="A4:Z4"/>
    <mergeCell ref="G2:J2"/>
    <mergeCell ref="B2:E2"/>
    <mergeCell ref="Q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2" customWidth="1" min="6" max="6"/>
    <col width="13" customWidth="1" min="7" max="7"/>
    <col width="13" customWidth="1" min="8" max="8"/>
    <col width="13" customWidth="1" min="9" max="9"/>
    <col width="13" customWidth="1" min="10" max="10"/>
    <col width="2" customWidth="1" min="11" max="11"/>
    <col width="13" customWidth="1" min="12" max="12"/>
    <col width="13" customWidth="1" min="13" max="13"/>
    <col width="13" customWidth="1" min="14" max="14"/>
    <col width="13" customWidth="1" min="15" max="15"/>
    <col width="2" customWidth="1" min="16" max="16"/>
    <col width="13" customWidth="1" min="17" max="17"/>
    <col width="13" customWidth="1" min="18" max="18"/>
    <col width="13" customWidth="1" min="19" max="19"/>
    <col width="13" customWidth="1" min="20" max="20"/>
    <col width="2" customWidth="1" min="21" max="21"/>
    <col width="13" customWidth="1" min="22" max="22"/>
    <col width="13" customWidth="1" min="23" max="23"/>
    <col width="13" customWidth="1" min="24" max="24"/>
    <col width="13" customWidth="1" min="25" max="25"/>
    <col width="2" customWidth="1" min="26" max="26"/>
  </cols>
  <sheetData>
    <row r="1" ht="22" customHeight="1">
      <c r="A1" s="1" t="inlineStr">
        <is>
          <t>NSE FAO — Put-Call Ratio Analysis (Participant OI, Volume &amp; Chain)</t>
        </is>
      </c>
    </row>
    <row r="2" ht="16" customHeight="1">
      <c r="A2" s="19" t="inlineStr">
        <is>
          <t>Metric</t>
        </is>
      </c>
      <c r="B2" s="19" t="inlineStr">
        <is>
          <t>Jul 06 2026</t>
        </is>
      </c>
      <c r="C2" s="20" t="n"/>
      <c r="D2" s="20" t="n"/>
      <c r="E2" s="20" t="n"/>
      <c r="F2" s="20" t="n"/>
      <c r="G2" s="19" t="inlineStr">
        <is>
          <t>Jul 07 2026</t>
        </is>
      </c>
      <c r="H2" s="20" t="n"/>
      <c r="I2" s="20" t="n"/>
      <c r="J2" s="20" t="n"/>
      <c r="K2" s="20" t="n"/>
      <c r="L2" s="19" t="inlineStr">
        <is>
          <t>Jul 08 2026</t>
        </is>
      </c>
      <c r="M2" s="20" t="n"/>
      <c r="N2" s="20" t="n"/>
      <c r="O2" s="20" t="n"/>
      <c r="P2" s="20" t="n"/>
      <c r="Q2" s="19" t="inlineStr">
        <is>
          <t>Jul 09 2026</t>
        </is>
      </c>
      <c r="R2" s="20" t="n"/>
      <c r="S2" s="20" t="n"/>
      <c r="T2" s="20" t="n"/>
      <c r="U2" s="20" t="n"/>
      <c r="V2" s="19" t="inlineStr">
        <is>
          <t>Jul 10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PARTICIPANT OI PCR  (Put Long / Call Long)</t>
        </is>
      </c>
    </row>
    <row r="5" ht="14" customHeight="1">
      <c r="A5" s="25" t="inlineStr">
        <is>
          <t>Index OI PCR</t>
        </is>
      </c>
      <c r="B5" s="18">
        <f>IFERROR('Raw OI Data'!H3/'Raw OI Data'!G3,0)</f>
        <v/>
      </c>
      <c r="C5" s="18">
        <f>IFERROR('Raw OI Data'!H4/'Raw OI Data'!G4,0)</f>
        <v/>
      </c>
      <c r="D5" s="18">
        <f>IFERROR('Raw OI Data'!H5/'Raw OI Data'!G5,0)</f>
        <v/>
      </c>
      <c r="E5" s="18">
        <f>IFERROR('Raw OI Data'!H6/'Raw OI Data'!G6,0)</f>
        <v/>
      </c>
      <c r="F5" s="26" t="n"/>
      <c r="G5" s="18">
        <f>IFERROR('Raw OI Data'!H7/'Raw OI Data'!G7,0)</f>
        <v/>
      </c>
      <c r="H5" s="18">
        <f>IFERROR('Raw OI Data'!H8/'Raw OI Data'!G8,0)</f>
        <v/>
      </c>
      <c r="I5" s="18">
        <f>IFERROR('Raw OI Data'!H9/'Raw OI Data'!G9,0)</f>
        <v/>
      </c>
      <c r="J5" s="18">
        <f>IFERROR('Raw OI Data'!H10/'Raw OI Data'!G10,0)</f>
        <v/>
      </c>
      <c r="K5" s="26" t="n"/>
      <c r="L5" s="18">
        <f>IFERROR('Raw OI Data'!H11/'Raw OI Data'!G11,0)</f>
        <v/>
      </c>
      <c r="M5" s="18">
        <f>IFERROR('Raw OI Data'!H12/'Raw OI Data'!G12,0)</f>
        <v/>
      </c>
      <c r="N5" s="18">
        <f>IFERROR('Raw OI Data'!H13/'Raw OI Data'!G13,0)</f>
        <v/>
      </c>
      <c r="O5" s="18">
        <f>IFERROR('Raw OI Data'!H14/'Raw OI Data'!G14,0)</f>
        <v/>
      </c>
      <c r="P5" s="26" t="n"/>
      <c r="Q5" s="18">
        <f>IFERROR('Raw OI Data'!H15/'Raw OI Data'!G15,0)</f>
        <v/>
      </c>
      <c r="R5" s="18">
        <f>IFERROR('Raw OI Data'!H16/'Raw OI Data'!G16,0)</f>
        <v/>
      </c>
      <c r="S5" s="18">
        <f>IFERROR('Raw OI Data'!H17/'Raw OI Data'!G17,0)</f>
        <v/>
      </c>
      <c r="T5" s="18">
        <f>IFERROR('Raw OI Data'!H18/'Raw OI Data'!G18,0)</f>
        <v/>
      </c>
      <c r="U5" s="26" t="n"/>
      <c r="V5" s="18">
        <f>IFERROR('Raw OI Data'!H19/'Raw OI Data'!G19,0)</f>
        <v/>
      </c>
      <c r="W5" s="18">
        <f>IFERROR('Raw OI Data'!H20/'Raw OI Data'!G20,0)</f>
        <v/>
      </c>
      <c r="X5" s="18">
        <f>IFERROR('Raw OI Data'!H21/'Raw OI Data'!G21,0)</f>
        <v/>
      </c>
      <c r="Y5" s="18">
        <f>IFERROR('Raw OI Data'!H22/'Raw OI Data'!G22,0)</f>
        <v/>
      </c>
      <c r="Z5" s="26" t="n"/>
    </row>
    <row r="6" ht="14" customHeight="1">
      <c r="A6" s="25" t="inlineStr">
        <is>
          <t>Stock OI PCR</t>
        </is>
      </c>
      <c r="B6" s="16">
        <f>IFERROR('Raw OI Data'!L3/'Raw OI Data'!K3,0)</f>
        <v/>
      </c>
      <c r="C6" s="16">
        <f>IFERROR('Raw OI Data'!L4/'Raw OI Data'!K4,0)</f>
        <v/>
      </c>
      <c r="D6" s="16">
        <f>IFERROR('Raw OI Data'!L5/'Raw OI Data'!K5,0)</f>
        <v/>
      </c>
      <c r="E6" s="16">
        <f>IFERROR('Raw OI Data'!L6/'Raw OI Data'!K6,0)</f>
        <v/>
      </c>
      <c r="F6" s="27" t="n"/>
      <c r="G6" s="16">
        <f>IFERROR('Raw OI Data'!L7/'Raw OI Data'!K7,0)</f>
        <v/>
      </c>
      <c r="H6" s="16">
        <f>IFERROR('Raw OI Data'!L8/'Raw OI Data'!K8,0)</f>
        <v/>
      </c>
      <c r="I6" s="16">
        <f>IFERROR('Raw OI Data'!L9/'Raw OI Data'!K9,0)</f>
        <v/>
      </c>
      <c r="J6" s="16">
        <f>IFERROR('Raw OI Data'!L10/'Raw OI Data'!K10,0)</f>
        <v/>
      </c>
      <c r="K6" s="27" t="n"/>
      <c r="L6" s="16">
        <f>IFERROR('Raw OI Data'!L11/'Raw OI Data'!K11,0)</f>
        <v/>
      </c>
      <c r="M6" s="16">
        <f>IFERROR('Raw OI Data'!L12/'Raw OI Data'!K12,0)</f>
        <v/>
      </c>
      <c r="N6" s="16">
        <f>IFERROR('Raw OI Data'!L13/'Raw OI Data'!K13,0)</f>
        <v/>
      </c>
      <c r="O6" s="16">
        <f>IFERROR('Raw OI Data'!L14/'Raw OI Data'!K14,0)</f>
        <v/>
      </c>
      <c r="P6" s="27" t="n"/>
      <c r="Q6" s="16">
        <f>IFERROR('Raw OI Data'!L15/'Raw OI Data'!K15,0)</f>
        <v/>
      </c>
      <c r="R6" s="16">
        <f>IFERROR('Raw OI Data'!L16/'Raw OI Data'!K16,0)</f>
        <v/>
      </c>
      <c r="S6" s="16">
        <f>IFERROR('Raw OI Data'!L17/'Raw OI Data'!K17,0)</f>
        <v/>
      </c>
      <c r="T6" s="16">
        <f>IFERROR('Raw OI Data'!L18/'Raw OI Data'!K18,0)</f>
        <v/>
      </c>
      <c r="U6" s="27" t="n"/>
      <c r="V6" s="16">
        <f>IFERROR('Raw OI Data'!L19/'Raw OI Data'!K19,0)</f>
        <v/>
      </c>
      <c r="W6" s="16">
        <f>IFERROR('Raw OI Data'!L20/'Raw OI Data'!K20,0)</f>
        <v/>
      </c>
      <c r="X6" s="16">
        <f>IFERROR('Raw OI Data'!L21/'Raw OI Data'!K21,0)</f>
        <v/>
      </c>
      <c r="Y6" s="16">
        <f>IFERROR('Raw OI Data'!L22/'Raw OI Data'!K22,0)</f>
        <v/>
      </c>
      <c r="Z6" s="27" t="n"/>
    </row>
    <row r="7" ht="14" customHeight="1">
      <c r="A7" s="25" t="inlineStr">
        <is>
          <t>Combined OI PCR</t>
        </is>
      </c>
      <c r="B7" s="18">
        <f>IFERROR(('Raw OI Data'!H3+'Raw OI Data'!L3)/('Raw OI Data'!G3+'Raw OI Data'!K3),0)</f>
        <v/>
      </c>
      <c r="C7" s="18">
        <f>IFERROR(('Raw OI Data'!H4+'Raw OI Data'!L4)/('Raw OI Data'!G4+'Raw OI Data'!K4),0)</f>
        <v/>
      </c>
      <c r="D7" s="18">
        <f>IFERROR(('Raw OI Data'!H5+'Raw OI Data'!L5)/('Raw OI Data'!G5+'Raw OI Data'!K5),0)</f>
        <v/>
      </c>
      <c r="E7" s="18">
        <f>IFERROR(('Raw OI Data'!H6+'Raw OI Data'!L6)/('Raw OI Data'!G6+'Raw OI Data'!K6),0)</f>
        <v/>
      </c>
      <c r="F7" s="26" t="n"/>
      <c r="G7" s="18">
        <f>IFERROR(('Raw OI Data'!H7+'Raw OI Data'!L7)/('Raw OI Data'!G7+'Raw OI Data'!K7),0)</f>
        <v/>
      </c>
      <c r="H7" s="18">
        <f>IFERROR(('Raw OI Data'!H8+'Raw OI Data'!L8)/('Raw OI Data'!G8+'Raw OI Data'!K8),0)</f>
        <v/>
      </c>
      <c r="I7" s="18">
        <f>IFERROR(('Raw OI Data'!H9+'Raw OI Data'!L9)/('Raw OI Data'!G9+'Raw OI Data'!K9),0)</f>
        <v/>
      </c>
      <c r="J7" s="18">
        <f>IFERROR(('Raw OI Data'!H10+'Raw OI Data'!L10)/('Raw OI Data'!G10+'Raw OI Data'!K10),0)</f>
        <v/>
      </c>
      <c r="K7" s="26" t="n"/>
      <c r="L7" s="18">
        <f>IFERROR(('Raw OI Data'!H11+'Raw OI Data'!L11)/('Raw OI Data'!G11+'Raw OI Data'!K11),0)</f>
        <v/>
      </c>
      <c r="M7" s="18">
        <f>IFERROR(('Raw OI Data'!H12+'Raw OI Data'!L12)/('Raw OI Data'!G12+'Raw OI Data'!K12),0)</f>
        <v/>
      </c>
      <c r="N7" s="18">
        <f>IFERROR(('Raw OI Data'!H13+'Raw OI Data'!L13)/('Raw OI Data'!G13+'Raw OI Data'!K13),0)</f>
        <v/>
      </c>
      <c r="O7" s="18">
        <f>IFERROR(('Raw OI Data'!H14+'Raw OI Data'!L14)/('Raw OI Data'!G14+'Raw OI Data'!K14),0)</f>
        <v/>
      </c>
      <c r="P7" s="26" t="n"/>
      <c r="Q7" s="18">
        <f>IFERROR(('Raw OI Data'!H15+'Raw OI Data'!L15)/('Raw OI Data'!G15+'Raw OI Data'!K15),0)</f>
        <v/>
      </c>
      <c r="R7" s="18">
        <f>IFERROR(('Raw OI Data'!H16+'Raw OI Data'!L16)/('Raw OI Data'!G16+'Raw OI Data'!K16),0)</f>
        <v/>
      </c>
      <c r="S7" s="18">
        <f>IFERROR(('Raw OI Data'!H17+'Raw OI Data'!L17)/('Raw OI Data'!G17+'Raw OI Data'!K17),0)</f>
        <v/>
      </c>
      <c r="T7" s="18">
        <f>IFERROR(('Raw OI Data'!H18+'Raw OI Data'!L18)/('Raw OI Data'!G18+'Raw OI Data'!K18),0)</f>
        <v/>
      </c>
      <c r="U7" s="26" t="n"/>
      <c r="V7" s="18">
        <f>IFERROR(('Raw OI Data'!H19+'Raw OI Data'!L19)/('Raw OI Data'!G19+'Raw OI Data'!K19),0)</f>
        <v/>
      </c>
      <c r="W7" s="18">
        <f>IFERROR(('Raw OI Data'!H20+'Raw OI Data'!L20)/('Raw OI Data'!G20+'Raw OI Data'!K20),0)</f>
        <v/>
      </c>
      <c r="X7" s="18">
        <f>IFERROR(('Raw OI Data'!H21+'Raw OI Data'!L21)/('Raw OI Data'!G21+'Raw OI Data'!K21),0)</f>
        <v/>
      </c>
      <c r="Y7" s="18">
        <f>IFERROR(('Raw OI Data'!H22+'Raw OI Data'!L22)/('Raw OI Data'!G22+'Raw OI Data'!K22),0)</f>
        <v/>
      </c>
      <c r="Z7" s="26" t="n"/>
    </row>
    <row r="8" ht="14" customHeight="1">
      <c r="A8" s="25" t="inlineStr">
        <is>
          <t>Index Net PCR</t>
        </is>
      </c>
      <c r="B8" s="16">
        <f>IFERROR(('Raw OI Data'!H3-'Raw OI Data'!J3)/('Raw OI Data'!G3-'Raw OI Data'!I3),0)</f>
        <v/>
      </c>
      <c r="C8" s="16">
        <f>IFERROR(('Raw OI Data'!H4-'Raw OI Data'!J4)/('Raw OI Data'!G4-'Raw OI Data'!I4),0)</f>
        <v/>
      </c>
      <c r="D8" s="16">
        <f>IFERROR(('Raw OI Data'!H5-'Raw OI Data'!J5)/('Raw OI Data'!G5-'Raw OI Data'!I5),0)</f>
        <v/>
      </c>
      <c r="E8" s="16">
        <f>IFERROR(('Raw OI Data'!H6-'Raw OI Data'!J6)/('Raw OI Data'!G6-'Raw OI Data'!I6),0)</f>
        <v/>
      </c>
      <c r="F8" s="27" t="n"/>
      <c r="G8" s="16">
        <f>IFERROR(('Raw OI Data'!H7-'Raw OI Data'!J7)/('Raw OI Data'!G7-'Raw OI Data'!I7),0)</f>
        <v/>
      </c>
      <c r="H8" s="16">
        <f>IFERROR(('Raw OI Data'!H8-'Raw OI Data'!J8)/('Raw OI Data'!G8-'Raw OI Data'!I8),0)</f>
        <v/>
      </c>
      <c r="I8" s="16">
        <f>IFERROR(('Raw OI Data'!H9-'Raw OI Data'!J9)/('Raw OI Data'!G9-'Raw OI Data'!I9),0)</f>
        <v/>
      </c>
      <c r="J8" s="16">
        <f>IFERROR(('Raw OI Data'!H10-'Raw OI Data'!J10)/('Raw OI Data'!G10-'Raw OI Data'!I10),0)</f>
        <v/>
      </c>
      <c r="K8" s="27" t="n"/>
      <c r="L8" s="16">
        <f>IFERROR(('Raw OI Data'!H11-'Raw OI Data'!J11)/('Raw OI Data'!G11-'Raw OI Data'!I11),0)</f>
        <v/>
      </c>
      <c r="M8" s="16">
        <f>IFERROR(('Raw OI Data'!H12-'Raw OI Data'!J12)/('Raw OI Data'!G12-'Raw OI Data'!I12),0)</f>
        <v/>
      </c>
      <c r="N8" s="16">
        <f>IFERROR(('Raw OI Data'!H13-'Raw OI Data'!J13)/('Raw OI Data'!G13-'Raw OI Data'!I13),0)</f>
        <v/>
      </c>
      <c r="O8" s="16">
        <f>IFERROR(('Raw OI Data'!H14-'Raw OI Data'!J14)/('Raw OI Data'!G14-'Raw OI Data'!I14),0)</f>
        <v/>
      </c>
      <c r="P8" s="27" t="n"/>
      <c r="Q8" s="16">
        <f>IFERROR(('Raw OI Data'!H15-'Raw OI Data'!J15)/('Raw OI Data'!G15-'Raw OI Data'!I15),0)</f>
        <v/>
      </c>
      <c r="R8" s="16">
        <f>IFERROR(('Raw OI Data'!H16-'Raw OI Data'!J16)/('Raw OI Data'!G16-'Raw OI Data'!I16),0)</f>
        <v/>
      </c>
      <c r="S8" s="16">
        <f>IFERROR(('Raw OI Data'!H17-'Raw OI Data'!J17)/('Raw OI Data'!G17-'Raw OI Data'!I17),0)</f>
        <v/>
      </c>
      <c r="T8" s="16">
        <f>IFERROR(('Raw OI Data'!H18-'Raw OI Data'!J18)/('Raw OI Data'!G18-'Raw OI Data'!I18),0)</f>
        <v/>
      </c>
      <c r="U8" s="27" t="n"/>
      <c r="V8" s="16">
        <f>IFERROR(('Raw OI Data'!H19-'Raw OI Data'!J19)/('Raw OI Data'!G19-'Raw OI Data'!I19),0)</f>
        <v/>
      </c>
      <c r="W8" s="16">
        <f>IFERROR(('Raw OI Data'!H20-'Raw OI Data'!J20)/('Raw OI Data'!G20-'Raw OI Data'!I20),0)</f>
        <v/>
      </c>
      <c r="X8" s="16">
        <f>IFERROR(('Raw OI Data'!H21-'Raw OI Data'!J21)/('Raw OI Data'!G21-'Raw OI Data'!I21),0)</f>
        <v/>
      </c>
      <c r="Y8" s="16">
        <f>IFERROR(('Raw OI Data'!H22-'Raw OI Data'!J22)/('Raw OI Data'!G22-'Raw OI Data'!I22),0)</f>
        <v/>
      </c>
      <c r="Z8" s="27" t="n"/>
    </row>
    <row r="9" ht="14" customHeight="1">
      <c r="A9" s="25" t="inlineStr">
        <is>
          <t>Short-side PCR</t>
        </is>
      </c>
      <c r="B9" s="18">
        <f>IFERROR('Raw OI Data'!J3/'Raw OI Data'!I3,0)</f>
        <v/>
      </c>
      <c r="C9" s="18">
        <f>IFERROR('Raw OI Data'!J4/'Raw OI Data'!I4,0)</f>
        <v/>
      </c>
      <c r="D9" s="18">
        <f>IFERROR('Raw OI Data'!J5/'Raw OI Data'!I5,0)</f>
        <v/>
      </c>
      <c r="E9" s="18">
        <f>IFERROR('Raw OI Data'!J6/'Raw OI Data'!I6,0)</f>
        <v/>
      </c>
      <c r="F9" s="26" t="n"/>
      <c r="G9" s="18">
        <f>IFERROR('Raw OI Data'!J7/'Raw OI Data'!I7,0)</f>
        <v/>
      </c>
      <c r="H9" s="18">
        <f>IFERROR('Raw OI Data'!J8/'Raw OI Data'!I8,0)</f>
        <v/>
      </c>
      <c r="I9" s="18">
        <f>IFERROR('Raw OI Data'!J9/'Raw OI Data'!I9,0)</f>
        <v/>
      </c>
      <c r="J9" s="18">
        <f>IFERROR('Raw OI Data'!J10/'Raw OI Data'!I10,0)</f>
        <v/>
      </c>
      <c r="K9" s="26" t="n"/>
      <c r="L9" s="18">
        <f>IFERROR('Raw OI Data'!J11/'Raw OI Data'!I11,0)</f>
        <v/>
      </c>
      <c r="M9" s="18">
        <f>IFERROR('Raw OI Data'!J12/'Raw OI Data'!I12,0)</f>
        <v/>
      </c>
      <c r="N9" s="18">
        <f>IFERROR('Raw OI Data'!J13/'Raw OI Data'!I13,0)</f>
        <v/>
      </c>
      <c r="O9" s="18">
        <f>IFERROR('Raw OI Data'!J14/'Raw OI Data'!I14,0)</f>
        <v/>
      </c>
      <c r="P9" s="26" t="n"/>
      <c r="Q9" s="18">
        <f>IFERROR('Raw OI Data'!J15/'Raw OI Data'!I15,0)</f>
        <v/>
      </c>
      <c r="R9" s="18">
        <f>IFERROR('Raw OI Data'!J16/'Raw OI Data'!I16,0)</f>
        <v/>
      </c>
      <c r="S9" s="18">
        <f>IFERROR('Raw OI Data'!J17/'Raw OI Data'!I17,0)</f>
        <v/>
      </c>
      <c r="T9" s="18">
        <f>IFERROR('Raw OI Data'!J18/'Raw OI Data'!I18,0)</f>
        <v/>
      </c>
      <c r="U9" s="26" t="n"/>
      <c r="V9" s="18">
        <f>IFERROR('Raw OI Data'!J19/'Raw OI Data'!I19,0)</f>
        <v/>
      </c>
      <c r="W9" s="18">
        <f>IFERROR('Raw OI Data'!J20/'Raw OI Data'!I20,0)</f>
        <v/>
      </c>
      <c r="X9" s="18">
        <f>IFERROR('Raw OI Data'!J21/'Raw OI Data'!I21,0)</f>
        <v/>
      </c>
      <c r="Y9" s="18">
        <f>IFERROR('Raw OI Data'!J22/'Raw OI Data'!I22,0)</f>
        <v/>
      </c>
      <c r="Z9" s="26" t="n"/>
    </row>
    <row r="10" ht="16" customHeight="1">
      <c r="A10" s="14" t="inlineStr">
        <is>
          <t>PARTICIPANT VOLUME PCR  (Put Buy / Call Buy)</t>
        </is>
      </c>
    </row>
    <row r="11" ht="14" customHeight="1">
      <c r="A11" s="25" t="inlineStr">
        <is>
          <t>Index Vol PCR</t>
        </is>
      </c>
      <c r="B11" s="18">
        <f>IFERROR('Raw TV Data'!H3/'Raw TV Data'!G3,0)</f>
        <v/>
      </c>
      <c r="C11" s="18">
        <f>IFERROR('Raw TV Data'!H4/'Raw TV Data'!G4,0)</f>
        <v/>
      </c>
      <c r="D11" s="18">
        <f>IFERROR('Raw TV Data'!H5/'Raw TV Data'!G5,0)</f>
        <v/>
      </c>
      <c r="E11" s="18">
        <f>IFERROR('Raw TV Data'!H6/'Raw TV Data'!G6,0)</f>
        <v/>
      </c>
      <c r="F11" s="26" t="n"/>
      <c r="G11" s="18">
        <f>IFERROR('Raw TV Data'!H7/'Raw TV Data'!G7,0)</f>
        <v/>
      </c>
      <c r="H11" s="18">
        <f>IFERROR('Raw TV Data'!H8/'Raw TV Data'!G8,0)</f>
        <v/>
      </c>
      <c r="I11" s="18">
        <f>IFERROR('Raw TV Data'!H9/'Raw TV Data'!G9,0)</f>
        <v/>
      </c>
      <c r="J11" s="18">
        <f>IFERROR('Raw TV Data'!H10/'Raw TV Data'!G10,0)</f>
        <v/>
      </c>
      <c r="K11" s="26" t="n"/>
      <c r="L11" s="18">
        <f>IFERROR('Raw TV Data'!H11/'Raw TV Data'!G11,0)</f>
        <v/>
      </c>
      <c r="M11" s="18">
        <f>IFERROR('Raw TV Data'!H12/'Raw TV Data'!G12,0)</f>
        <v/>
      </c>
      <c r="N11" s="18">
        <f>IFERROR('Raw TV Data'!H13/'Raw TV Data'!G13,0)</f>
        <v/>
      </c>
      <c r="O11" s="18">
        <f>IFERROR('Raw TV Data'!H14/'Raw TV Data'!G14,0)</f>
        <v/>
      </c>
      <c r="P11" s="26" t="n"/>
      <c r="Q11" s="18">
        <f>IFERROR('Raw TV Data'!H15/'Raw TV Data'!G15,0)</f>
        <v/>
      </c>
      <c r="R11" s="18">
        <f>IFERROR('Raw TV Data'!H16/'Raw TV Data'!G16,0)</f>
        <v/>
      </c>
      <c r="S11" s="18">
        <f>IFERROR('Raw TV Data'!H17/'Raw TV Data'!G17,0)</f>
        <v/>
      </c>
      <c r="T11" s="18">
        <f>IFERROR('Raw TV Data'!H18/'Raw TV Data'!G18,0)</f>
        <v/>
      </c>
      <c r="U11" s="26" t="n"/>
      <c r="V11" s="18">
        <f>IFERROR('Raw TV Data'!H19/'Raw TV Data'!G19,0)</f>
        <v/>
      </c>
      <c r="W11" s="18">
        <f>IFERROR('Raw TV Data'!H20/'Raw TV Data'!G20,0)</f>
        <v/>
      </c>
      <c r="X11" s="18">
        <f>IFERROR('Raw TV Data'!H21/'Raw TV Data'!G21,0)</f>
        <v/>
      </c>
      <c r="Y11" s="18">
        <f>IFERROR('Raw TV Data'!H22/'Raw TV Data'!G22,0)</f>
        <v/>
      </c>
      <c r="Z11" s="26" t="n"/>
    </row>
    <row r="12" ht="14" customHeight="1">
      <c r="A12" s="25" t="inlineStr">
        <is>
          <t>Stock Vol PCR</t>
        </is>
      </c>
      <c r="B12" s="16">
        <f>IFERROR('Raw TV Data'!L3/'Raw TV Data'!K3,0)</f>
        <v/>
      </c>
      <c r="C12" s="16">
        <f>IFERROR('Raw TV Data'!L4/'Raw TV Data'!K4,0)</f>
        <v/>
      </c>
      <c r="D12" s="16">
        <f>IFERROR('Raw TV Data'!L5/'Raw TV Data'!K5,0)</f>
        <v/>
      </c>
      <c r="E12" s="16">
        <f>IFERROR('Raw TV Data'!L6/'Raw TV Data'!K6,0)</f>
        <v/>
      </c>
      <c r="F12" s="27" t="n"/>
      <c r="G12" s="16">
        <f>IFERROR('Raw TV Data'!L7/'Raw TV Data'!K7,0)</f>
        <v/>
      </c>
      <c r="H12" s="16">
        <f>IFERROR('Raw TV Data'!L8/'Raw TV Data'!K8,0)</f>
        <v/>
      </c>
      <c r="I12" s="16">
        <f>IFERROR('Raw TV Data'!L9/'Raw TV Data'!K9,0)</f>
        <v/>
      </c>
      <c r="J12" s="16">
        <f>IFERROR('Raw TV Data'!L10/'Raw TV Data'!K10,0)</f>
        <v/>
      </c>
      <c r="K12" s="27" t="n"/>
      <c r="L12" s="16">
        <f>IFERROR('Raw TV Data'!L11/'Raw TV Data'!K11,0)</f>
        <v/>
      </c>
      <c r="M12" s="16">
        <f>IFERROR('Raw TV Data'!L12/'Raw TV Data'!K12,0)</f>
        <v/>
      </c>
      <c r="N12" s="16">
        <f>IFERROR('Raw TV Data'!L13/'Raw TV Data'!K13,0)</f>
        <v/>
      </c>
      <c r="O12" s="16">
        <f>IFERROR('Raw TV Data'!L14/'Raw TV Data'!K14,0)</f>
        <v/>
      </c>
      <c r="P12" s="27" t="n"/>
      <c r="Q12" s="16">
        <f>IFERROR('Raw TV Data'!L15/'Raw TV Data'!K15,0)</f>
        <v/>
      </c>
      <c r="R12" s="16">
        <f>IFERROR('Raw TV Data'!L16/'Raw TV Data'!K16,0)</f>
        <v/>
      </c>
      <c r="S12" s="16">
        <f>IFERROR('Raw TV Data'!L17/'Raw TV Data'!K17,0)</f>
        <v/>
      </c>
      <c r="T12" s="16">
        <f>IFERROR('Raw TV Data'!L18/'Raw TV Data'!K18,0)</f>
        <v/>
      </c>
      <c r="U12" s="27" t="n"/>
      <c r="V12" s="16">
        <f>IFERROR('Raw TV Data'!L19/'Raw TV Data'!K19,0)</f>
        <v/>
      </c>
      <c r="W12" s="16">
        <f>IFERROR('Raw TV Data'!L20/'Raw TV Data'!K20,0)</f>
        <v/>
      </c>
      <c r="X12" s="16">
        <f>IFERROR('Raw TV Data'!L21/'Raw TV Data'!K21,0)</f>
        <v/>
      </c>
      <c r="Y12" s="16">
        <f>IFERROR('Raw TV Data'!L22/'Raw TV Data'!K22,0)</f>
        <v/>
      </c>
      <c r="Z12" s="27" t="n"/>
    </row>
    <row r="13" ht="14" customHeight="1">
      <c r="A13" s="25" t="inlineStr">
        <is>
          <t>Combined Vol PCR</t>
        </is>
      </c>
      <c r="B13" s="18">
        <f>IFERROR(('Raw TV Data'!H3+'Raw TV Data'!L3)/('Raw TV Data'!G3+'Raw TV Data'!K3),0)</f>
        <v/>
      </c>
      <c r="C13" s="18">
        <f>IFERROR(('Raw TV Data'!H4+'Raw TV Data'!L4)/('Raw TV Data'!G4+'Raw TV Data'!K4),0)</f>
        <v/>
      </c>
      <c r="D13" s="18">
        <f>IFERROR(('Raw TV Data'!H5+'Raw TV Data'!L5)/('Raw TV Data'!G5+'Raw TV Data'!K5),0)</f>
        <v/>
      </c>
      <c r="E13" s="18">
        <f>IFERROR(('Raw TV Data'!H6+'Raw TV Data'!L6)/('Raw TV Data'!G6+'Raw TV Data'!K6),0)</f>
        <v/>
      </c>
      <c r="F13" s="26" t="n"/>
      <c r="G13" s="18">
        <f>IFERROR(('Raw TV Data'!H7+'Raw TV Data'!L7)/('Raw TV Data'!G7+'Raw TV Data'!K7),0)</f>
        <v/>
      </c>
      <c r="H13" s="18">
        <f>IFERROR(('Raw TV Data'!H8+'Raw TV Data'!L8)/('Raw TV Data'!G8+'Raw TV Data'!K8),0)</f>
        <v/>
      </c>
      <c r="I13" s="18">
        <f>IFERROR(('Raw TV Data'!H9+'Raw TV Data'!L9)/('Raw TV Data'!G9+'Raw TV Data'!K9),0)</f>
        <v/>
      </c>
      <c r="J13" s="18">
        <f>IFERROR(('Raw TV Data'!H10+'Raw TV Data'!L10)/('Raw TV Data'!G10+'Raw TV Data'!K10),0)</f>
        <v/>
      </c>
      <c r="K13" s="26" t="n"/>
      <c r="L13" s="18">
        <f>IFERROR(('Raw TV Data'!H11+'Raw TV Data'!L11)/('Raw TV Data'!G11+'Raw TV Data'!K11),0)</f>
        <v/>
      </c>
      <c r="M13" s="18">
        <f>IFERROR(('Raw TV Data'!H12+'Raw TV Data'!L12)/('Raw TV Data'!G12+'Raw TV Data'!K12),0)</f>
        <v/>
      </c>
      <c r="N13" s="18">
        <f>IFERROR(('Raw TV Data'!H13+'Raw TV Data'!L13)/('Raw TV Data'!G13+'Raw TV Data'!K13),0)</f>
        <v/>
      </c>
      <c r="O13" s="18">
        <f>IFERROR(('Raw TV Data'!H14+'Raw TV Data'!L14)/('Raw TV Data'!G14+'Raw TV Data'!K14),0)</f>
        <v/>
      </c>
      <c r="P13" s="26" t="n"/>
      <c r="Q13" s="18">
        <f>IFERROR(('Raw TV Data'!H15+'Raw TV Data'!L15)/('Raw TV Data'!G15+'Raw TV Data'!K15),0)</f>
        <v/>
      </c>
      <c r="R13" s="18">
        <f>IFERROR(('Raw TV Data'!H16+'Raw TV Data'!L16)/('Raw TV Data'!G16+'Raw TV Data'!K16),0)</f>
        <v/>
      </c>
      <c r="S13" s="18">
        <f>IFERROR(('Raw TV Data'!H17+'Raw TV Data'!L17)/('Raw TV Data'!G17+'Raw TV Data'!K17),0)</f>
        <v/>
      </c>
      <c r="T13" s="18">
        <f>IFERROR(('Raw TV Data'!H18+'Raw TV Data'!L18)/('Raw TV Data'!G18+'Raw TV Data'!K18),0)</f>
        <v/>
      </c>
      <c r="U13" s="26" t="n"/>
      <c r="V13" s="18">
        <f>IFERROR(('Raw TV Data'!H19+'Raw TV Data'!L19)/('Raw TV Data'!G19+'Raw TV Data'!K19),0)</f>
        <v/>
      </c>
      <c r="W13" s="18">
        <f>IFERROR(('Raw TV Data'!H20+'Raw TV Data'!L20)/('Raw TV Data'!G20+'Raw TV Data'!K20),0)</f>
        <v/>
      </c>
      <c r="X13" s="18">
        <f>IFERROR(('Raw TV Data'!H21+'Raw TV Data'!L21)/('Raw TV Data'!G21+'Raw TV Data'!K21),0)</f>
        <v/>
      </c>
      <c r="Y13" s="18">
        <f>IFERROR(('Raw TV Data'!H22+'Raw TV Data'!L22)/('Raw TV Data'!G22+'Raw TV Data'!K22),0)</f>
        <v/>
      </c>
      <c r="Z13" s="26" t="n"/>
    </row>
    <row r="14" ht="16" customHeight="1">
      <c r="A14" s="14" t="inlineStr">
        <is>
          <t>CHAIN-LEVEL AGGREGATE PCR  (all strikes, market-wide)</t>
        </is>
      </c>
    </row>
    <row r="15" ht="14" customHeight="1">
      <c r="A15" s="25" t="inlineStr">
        <is>
          <t>Aggregate OI PCR (Put OI / Call OI)</t>
        </is>
      </c>
      <c r="B15" s="34" t="n"/>
      <c r="C15" s="35" t="n"/>
      <c r="D15" s="35" t="n"/>
      <c r="E15" s="35" t="n"/>
      <c r="F15" s="26" t="n"/>
      <c r="G15" s="34" t="n"/>
      <c r="H15" s="35" t="n"/>
      <c r="I15" s="35" t="n"/>
      <c r="J15" s="35" t="n"/>
      <c r="K15" s="26" t="n"/>
      <c r="L15" s="34" t="n"/>
      <c r="M15" s="35" t="n"/>
      <c r="N15" s="35" t="n"/>
      <c r="O15" s="35" t="n"/>
      <c r="P15" s="26" t="n"/>
      <c r="Q15" s="34" t="n"/>
      <c r="R15" s="35" t="n"/>
      <c r="S15" s="35" t="n"/>
      <c r="T15" s="35" t="n"/>
      <c r="U15" s="26" t="n"/>
      <c r="V15" s="34" t="n">
        <v>1.2726</v>
      </c>
      <c r="W15" s="35" t="n"/>
      <c r="X15" s="35" t="n"/>
      <c r="Y15" s="35" t="n"/>
      <c r="Z15" s="26" t="n"/>
    </row>
    <row r="16" ht="14" customHeight="1">
      <c r="A16" s="25" t="inlineStr">
        <is>
          <t>Aggregate Volume PCR (Put Vol / Call Vol)</t>
        </is>
      </c>
      <c r="B16" s="34" t="n"/>
      <c r="C16" s="35" t="n"/>
      <c r="D16" s="35" t="n"/>
      <c r="E16" s="35" t="n"/>
      <c r="F16" s="27" t="n"/>
      <c r="G16" s="34" t="n"/>
      <c r="H16" s="35" t="n"/>
      <c r="I16" s="35" t="n"/>
      <c r="J16" s="35" t="n"/>
      <c r="K16" s="27" t="n"/>
      <c r="L16" s="34" t="n"/>
      <c r="M16" s="35" t="n"/>
      <c r="N16" s="35" t="n"/>
      <c r="O16" s="35" t="n"/>
      <c r="P16" s="27" t="n"/>
      <c r="Q16" s="34" t="n"/>
      <c r="R16" s="35" t="n"/>
      <c r="S16" s="35" t="n"/>
      <c r="T16" s="35" t="n"/>
      <c r="U16" s="27" t="n"/>
      <c r="V16" s="34" t="n">
        <v>0.9406</v>
      </c>
      <c r="W16" s="35" t="n"/>
      <c r="X16" s="35" t="n"/>
      <c r="Y16" s="35" t="n"/>
      <c r="Z16" s="27" t="n"/>
    </row>
  </sheetData>
  <mergeCells count="19">
    <mergeCell ref="B15:E15"/>
    <mergeCell ref="V16:Y16"/>
    <mergeCell ref="G16:J16"/>
    <mergeCell ref="Q2:T2"/>
    <mergeCell ref="A1:Z1"/>
    <mergeCell ref="Q16:T16"/>
    <mergeCell ref="B16:E16"/>
    <mergeCell ref="V2:Y2"/>
    <mergeCell ref="L2:O2"/>
    <mergeCell ref="G2:J2"/>
    <mergeCell ref="L16:O16"/>
    <mergeCell ref="B2:E2"/>
    <mergeCell ref="L15:O15"/>
    <mergeCell ref="A14:Z14"/>
    <mergeCell ref="A4:Z4"/>
    <mergeCell ref="V15:Y15"/>
    <mergeCell ref="G15:J15"/>
    <mergeCell ref="A10:Z10"/>
    <mergeCell ref="Q15:T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  <col width="14" customWidth="1" min="22" max="22"/>
    <col width="14" customWidth="1" min="23" max="23"/>
    <col width="14" customWidth="1" min="24" max="24"/>
    <col width="14" customWidth="1" min="25" max="25"/>
    <col width="2" customWidth="1" min="26" max="26"/>
  </cols>
  <sheetData>
    <row r="1" ht="22" customHeight="1">
      <c r="A1" s="1" t="inlineStr">
        <is>
          <t>NSE FAO — OI / Trading Volume Efficiency Ratio</t>
        </is>
      </c>
    </row>
    <row r="2" ht="16" customHeight="1">
      <c r="A2" s="19" t="inlineStr">
        <is>
          <t>Metric</t>
        </is>
      </c>
      <c r="B2" s="19" t="inlineStr">
        <is>
          <t>Jul 06 2026</t>
        </is>
      </c>
      <c r="C2" s="20" t="n"/>
      <c r="D2" s="20" t="n"/>
      <c r="E2" s="20" t="n"/>
      <c r="F2" s="20" t="n"/>
      <c r="G2" s="19" t="inlineStr">
        <is>
          <t>Jul 07 2026</t>
        </is>
      </c>
      <c r="H2" s="20" t="n"/>
      <c r="I2" s="20" t="n"/>
      <c r="J2" s="20" t="n"/>
      <c r="K2" s="20" t="n"/>
      <c r="L2" s="19" t="inlineStr">
        <is>
          <t>Jul 08 2026</t>
        </is>
      </c>
      <c r="M2" s="20" t="n"/>
      <c r="N2" s="20" t="n"/>
      <c r="O2" s="20" t="n"/>
      <c r="P2" s="20" t="n"/>
      <c r="Q2" s="19" t="inlineStr">
        <is>
          <t>Jul 09 2026</t>
        </is>
      </c>
      <c r="R2" s="20" t="n"/>
      <c r="S2" s="20" t="n"/>
      <c r="T2" s="20" t="n"/>
      <c r="U2" s="20" t="n"/>
      <c r="V2" s="19" t="inlineStr">
        <is>
          <t>Jul 10 2026</t>
        </is>
      </c>
      <c r="W2" s="20" t="n"/>
      <c r="X2" s="20" t="n"/>
      <c r="Y2" s="20" t="n"/>
      <c r="Z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  <c r="V3" s="23" t="inlineStr">
        <is>
          <t>Client</t>
        </is>
      </c>
      <c r="W3" s="23" t="inlineStr">
        <is>
          <t>DII</t>
        </is>
      </c>
      <c r="X3" s="23" t="inlineStr">
        <is>
          <t>FII</t>
        </is>
      </c>
      <c r="Y3" s="23" t="inlineStr">
        <is>
          <t>Pro</t>
        </is>
      </c>
      <c r="Z3" s="24" t="n"/>
    </row>
    <row r="4" ht="16" customHeight="1">
      <c r="A4" s="14" t="inlineStr">
        <is>
          <t>OI / VOLUME RATIO  (high = positions held with conviction, low = churn)</t>
        </is>
      </c>
    </row>
    <row r="5" ht="14" customHeight="1">
      <c r="A5" s="25" t="inlineStr">
        <is>
          <t>Fut Index OI/TV</t>
        </is>
      </c>
      <c r="B5" s="18">
        <f>IFERROR('Raw OI Data'!C3/'Raw TV Data'!C3,0)</f>
        <v/>
      </c>
      <c r="C5" s="18">
        <f>IFERROR('Raw OI Data'!C4/'Raw TV Data'!C4,0)</f>
        <v/>
      </c>
      <c r="D5" s="18">
        <f>IFERROR('Raw OI Data'!C5/'Raw TV Data'!C5,0)</f>
        <v/>
      </c>
      <c r="E5" s="18">
        <f>IFERROR('Raw OI Data'!C6/'Raw TV Data'!C6,0)</f>
        <v/>
      </c>
      <c r="F5" s="26" t="n"/>
      <c r="G5" s="18">
        <f>IFERROR('Raw OI Data'!C7/'Raw TV Data'!C7,0)</f>
        <v/>
      </c>
      <c r="H5" s="18">
        <f>IFERROR('Raw OI Data'!C8/'Raw TV Data'!C8,0)</f>
        <v/>
      </c>
      <c r="I5" s="18">
        <f>IFERROR('Raw OI Data'!C9/'Raw TV Data'!C9,0)</f>
        <v/>
      </c>
      <c r="J5" s="18">
        <f>IFERROR('Raw OI Data'!C10/'Raw TV Data'!C10,0)</f>
        <v/>
      </c>
      <c r="K5" s="26" t="n"/>
      <c r="L5" s="18">
        <f>IFERROR('Raw OI Data'!C11/'Raw TV Data'!C11,0)</f>
        <v/>
      </c>
      <c r="M5" s="18">
        <f>IFERROR('Raw OI Data'!C12/'Raw TV Data'!C12,0)</f>
        <v/>
      </c>
      <c r="N5" s="18">
        <f>IFERROR('Raw OI Data'!C13/'Raw TV Data'!C13,0)</f>
        <v/>
      </c>
      <c r="O5" s="18">
        <f>IFERROR('Raw OI Data'!C14/'Raw TV Data'!C14,0)</f>
        <v/>
      </c>
      <c r="P5" s="26" t="n"/>
      <c r="Q5" s="18">
        <f>IFERROR('Raw OI Data'!C15/'Raw TV Data'!C15,0)</f>
        <v/>
      </c>
      <c r="R5" s="18">
        <f>IFERROR('Raw OI Data'!C16/'Raw TV Data'!C16,0)</f>
        <v/>
      </c>
      <c r="S5" s="18">
        <f>IFERROR('Raw OI Data'!C17/'Raw TV Data'!C17,0)</f>
        <v/>
      </c>
      <c r="T5" s="18">
        <f>IFERROR('Raw OI Data'!C18/'Raw TV Data'!C18,0)</f>
        <v/>
      </c>
      <c r="U5" s="26" t="n"/>
      <c r="V5" s="18">
        <f>IFERROR('Raw OI Data'!C19/'Raw TV Data'!C19,0)</f>
        <v/>
      </c>
      <c r="W5" s="18">
        <f>IFERROR('Raw OI Data'!C20/'Raw TV Data'!C20,0)</f>
        <v/>
      </c>
      <c r="X5" s="18">
        <f>IFERROR('Raw OI Data'!C21/'Raw TV Data'!C21,0)</f>
        <v/>
      </c>
      <c r="Y5" s="18">
        <f>IFERROR('Raw OI Data'!C22/'Raw TV Data'!C22,0)</f>
        <v/>
      </c>
      <c r="Z5" s="26" t="n"/>
    </row>
    <row r="6" ht="14" customHeight="1">
      <c r="A6" s="25" t="inlineStr">
        <is>
          <t>Fut Stock OI/TV</t>
        </is>
      </c>
      <c r="B6" s="16">
        <f>IFERROR('Raw OI Data'!E3/'Raw TV Data'!E3,0)</f>
        <v/>
      </c>
      <c r="C6" s="16">
        <f>IFERROR('Raw OI Data'!E4/'Raw TV Data'!E4,0)</f>
        <v/>
      </c>
      <c r="D6" s="16">
        <f>IFERROR('Raw OI Data'!E5/'Raw TV Data'!E5,0)</f>
        <v/>
      </c>
      <c r="E6" s="16">
        <f>IFERROR('Raw OI Data'!E6/'Raw TV Data'!E6,0)</f>
        <v/>
      </c>
      <c r="F6" s="27" t="n"/>
      <c r="G6" s="16">
        <f>IFERROR('Raw OI Data'!E7/'Raw TV Data'!E7,0)</f>
        <v/>
      </c>
      <c r="H6" s="16">
        <f>IFERROR('Raw OI Data'!E8/'Raw TV Data'!E8,0)</f>
        <v/>
      </c>
      <c r="I6" s="16">
        <f>IFERROR('Raw OI Data'!E9/'Raw TV Data'!E9,0)</f>
        <v/>
      </c>
      <c r="J6" s="16">
        <f>IFERROR('Raw OI Data'!E10/'Raw TV Data'!E10,0)</f>
        <v/>
      </c>
      <c r="K6" s="27" t="n"/>
      <c r="L6" s="16">
        <f>IFERROR('Raw OI Data'!E11/'Raw TV Data'!E11,0)</f>
        <v/>
      </c>
      <c r="M6" s="16">
        <f>IFERROR('Raw OI Data'!E12/'Raw TV Data'!E12,0)</f>
        <v/>
      </c>
      <c r="N6" s="16">
        <f>IFERROR('Raw OI Data'!E13/'Raw TV Data'!E13,0)</f>
        <v/>
      </c>
      <c r="O6" s="16">
        <f>IFERROR('Raw OI Data'!E14/'Raw TV Data'!E14,0)</f>
        <v/>
      </c>
      <c r="P6" s="27" t="n"/>
      <c r="Q6" s="16">
        <f>IFERROR('Raw OI Data'!E15/'Raw TV Data'!E15,0)</f>
        <v/>
      </c>
      <c r="R6" s="16">
        <f>IFERROR('Raw OI Data'!E16/'Raw TV Data'!E16,0)</f>
        <v/>
      </c>
      <c r="S6" s="16">
        <f>IFERROR('Raw OI Data'!E17/'Raw TV Data'!E17,0)</f>
        <v/>
      </c>
      <c r="T6" s="16">
        <f>IFERROR('Raw OI Data'!E18/'Raw TV Data'!E18,0)</f>
        <v/>
      </c>
      <c r="U6" s="27" t="n"/>
      <c r="V6" s="16">
        <f>IFERROR('Raw OI Data'!E19/'Raw TV Data'!E19,0)</f>
        <v/>
      </c>
      <c r="W6" s="16">
        <f>IFERROR('Raw OI Data'!E20/'Raw TV Data'!E20,0)</f>
        <v/>
      </c>
      <c r="X6" s="16">
        <f>IFERROR('Raw OI Data'!E21/'Raw TV Data'!E21,0)</f>
        <v/>
      </c>
      <c r="Y6" s="16">
        <f>IFERROR('Raw OI Data'!E22/'Raw TV Data'!E22,0)</f>
        <v/>
      </c>
      <c r="Z6" s="27" t="n"/>
    </row>
    <row r="7" ht="14" customHeight="1">
      <c r="A7" s="25" t="inlineStr">
        <is>
          <t>Idx Call OI/TV</t>
        </is>
      </c>
      <c r="B7" s="18">
        <f>IFERROR('Raw OI Data'!G3/'Raw TV Data'!G3,0)</f>
        <v/>
      </c>
      <c r="C7" s="18">
        <f>IFERROR('Raw OI Data'!G4/'Raw TV Data'!G4,0)</f>
        <v/>
      </c>
      <c r="D7" s="18">
        <f>IFERROR('Raw OI Data'!G5/'Raw TV Data'!G5,0)</f>
        <v/>
      </c>
      <c r="E7" s="18">
        <f>IFERROR('Raw OI Data'!G6/'Raw TV Data'!G6,0)</f>
        <v/>
      </c>
      <c r="F7" s="26" t="n"/>
      <c r="G7" s="18">
        <f>IFERROR('Raw OI Data'!G7/'Raw TV Data'!G7,0)</f>
        <v/>
      </c>
      <c r="H7" s="18">
        <f>IFERROR('Raw OI Data'!G8/'Raw TV Data'!G8,0)</f>
        <v/>
      </c>
      <c r="I7" s="18">
        <f>IFERROR('Raw OI Data'!G9/'Raw TV Data'!G9,0)</f>
        <v/>
      </c>
      <c r="J7" s="18">
        <f>IFERROR('Raw OI Data'!G10/'Raw TV Data'!G10,0)</f>
        <v/>
      </c>
      <c r="K7" s="26" t="n"/>
      <c r="L7" s="18">
        <f>IFERROR('Raw OI Data'!G11/'Raw TV Data'!G11,0)</f>
        <v/>
      </c>
      <c r="M7" s="18">
        <f>IFERROR('Raw OI Data'!G12/'Raw TV Data'!G12,0)</f>
        <v/>
      </c>
      <c r="N7" s="18">
        <f>IFERROR('Raw OI Data'!G13/'Raw TV Data'!G13,0)</f>
        <v/>
      </c>
      <c r="O7" s="18">
        <f>IFERROR('Raw OI Data'!G14/'Raw TV Data'!G14,0)</f>
        <v/>
      </c>
      <c r="P7" s="26" t="n"/>
      <c r="Q7" s="18">
        <f>IFERROR('Raw OI Data'!G15/'Raw TV Data'!G15,0)</f>
        <v/>
      </c>
      <c r="R7" s="18">
        <f>IFERROR('Raw OI Data'!G16/'Raw TV Data'!G16,0)</f>
        <v/>
      </c>
      <c r="S7" s="18">
        <f>IFERROR('Raw OI Data'!G17/'Raw TV Data'!G17,0)</f>
        <v/>
      </c>
      <c r="T7" s="18">
        <f>IFERROR('Raw OI Data'!G18/'Raw TV Data'!G18,0)</f>
        <v/>
      </c>
      <c r="U7" s="26" t="n"/>
      <c r="V7" s="18">
        <f>IFERROR('Raw OI Data'!G19/'Raw TV Data'!G19,0)</f>
        <v/>
      </c>
      <c r="W7" s="18">
        <f>IFERROR('Raw OI Data'!G20/'Raw TV Data'!G20,0)</f>
        <v/>
      </c>
      <c r="X7" s="18">
        <f>IFERROR('Raw OI Data'!G21/'Raw TV Data'!G21,0)</f>
        <v/>
      </c>
      <c r="Y7" s="18">
        <f>IFERROR('Raw OI Data'!G22/'Raw TV Data'!G22,0)</f>
        <v/>
      </c>
      <c r="Z7" s="26" t="n"/>
    </row>
    <row r="8" ht="14" customHeight="1">
      <c r="A8" s="25" t="inlineStr">
        <is>
          <t>Idx Put OI/TV</t>
        </is>
      </c>
      <c r="B8" s="16">
        <f>IFERROR('Raw OI Data'!H3/'Raw TV Data'!H3,0)</f>
        <v/>
      </c>
      <c r="C8" s="16">
        <f>IFERROR('Raw OI Data'!H4/'Raw TV Data'!H4,0)</f>
        <v/>
      </c>
      <c r="D8" s="16">
        <f>IFERROR('Raw OI Data'!H5/'Raw TV Data'!H5,0)</f>
        <v/>
      </c>
      <c r="E8" s="16">
        <f>IFERROR('Raw OI Data'!H6/'Raw TV Data'!H6,0)</f>
        <v/>
      </c>
      <c r="F8" s="27" t="n"/>
      <c r="G8" s="16">
        <f>IFERROR('Raw OI Data'!H7/'Raw TV Data'!H7,0)</f>
        <v/>
      </c>
      <c r="H8" s="16">
        <f>IFERROR('Raw OI Data'!H8/'Raw TV Data'!H8,0)</f>
        <v/>
      </c>
      <c r="I8" s="16">
        <f>IFERROR('Raw OI Data'!H9/'Raw TV Data'!H9,0)</f>
        <v/>
      </c>
      <c r="J8" s="16">
        <f>IFERROR('Raw OI Data'!H10/'Raw TV Data'!H10,0)</f>
        <v/>
      </c>
      <c r="K8" s="27" t="n"/>
      <c r="L8" s="16">
        <f>IFERROR('Raw OI Data'!H11/'Raw TV Data'!H11,0)</f>
        <v/>
      </c>
      <c r="M8" s="16">
        <f>IFERROR('Raw OI Data'!H12/'Raw TV Data'!H12,0)</f>
        <v/>
      </c>
      <c r="N8" s="16">
        <f>IFERROR('Raw OI Data'!H13/'Raw TV Data'!H13,0)</f>
        <v/>
      </c>
      <c r="O8" s="16">
        <f>IFERROR('Raw OI Data'!H14/'Raw TV Data'!H14,0)</f>
        <v/>
      </c>
      <c r="P8" s="27" t="n"/>
      <c r="Q8" s="16">
        <f>IFERROR('Raw OI Data'!H15/'Raw TV Data'!H15,0)</f>
        <v/>
      </c>
      <c r="R8" s="16">
        <f>IFERROR('Raw OI Data'!H16/'Raw TV Data'!H16,0)</f>
        <v/>
      </c>
      <c r="S8" s="16">
        <f>IFERROR('Raw OI Data'!H17/'Raw TV Data'!H17,0)</f>
        <v/>
      </c>
      <c r="T8" s="16">
        <f>IFERROR('Raw OI Data'!H18/'Raw TV Data'!H18,0)</f>
        <v/>
      </c>
      <c r="U8" s="27" t="n"/>
      <c r="V8" s="16">
        <f>IFERROR('Raw OI Data'!H19/'Raw TV Data'!H19,0)</f>
        <v/>
      </c>
      <c r="W8" s="16">
        <f>IFERROR('Raw OI Data'!H20/'Raw TV Data'!H20,0)</f>
        <v/>
      </c>
      <c r="X8" s="16">
        <f>IFERROR('Raw OI Data'!H21/'Raw TV Data'!H21,0)</f>
        <v/>
      </c>
      <c r="Y8" s="16">
        <f>IFERROR('Raw OI Data'!H22/'Raw TV Data'!H22,0)</f>
        <v/>
      </c>
      <c r="Z8" s="27" t="n"/>
    </row>
    <row r="9" ht="14" customHeight="1">
      <c r="A9" s="25" t="inlineStr">
        <is>
          <t>Stk Call OI/TV</t>
        </is>
      </c>
      <c r="B9" s="18">
        <f>IFERROR('Raw OI Data'!K3/'Raw TV Data'!K3,0)</f>
        <v/>
      </c>
      <c r="C9" s="18">
        <f>IFERROR('Raw OI Data'!K4/'Raw TV Data'!K4,0)</f>
        <v/>
      </c>
      <c r="D9" s="18">
        <f>IFERROR('Raw OI Data'!K5/'Raw TV Data'!K5,0)</f>
        <v/>
      </c>
      <c r="E9" s="18">
        <f>IFERROR('Raw OI Data'!K6/'Raw TV Data'!K6,0)</f>
        <v/>
      </c>
      <c r="F9" s="26" t="n"/>
      <c r="G9" s="18">
        <f>IFERROR('Raw OI Data'!K7/'Raw TV Data'!K7,0)</f>
        <v/>
      </c>
      <c r="H9" s="18">
        <f>IFERROR('Raw OI Data'!K8/'Raw TV Data'!K8,0)</f>
        <v/>
      </c>
      <c r="I9" s="18">
        <f>IFERROR('Raw OI Data'!K9/'Raw TV Data'!K9,0)</f>
        <v/>
      </c>
      <c r="J9" s="18">
        <f>IFERROR('Raw OI Data'!K10/'Raw TV Data'!K10,0)</f>
        <v/>
      </c>
      <c r="K9" s="26" t="n"/>
      <c r="L9" s="18">
        <f>IFERROR('Raw OI Data'!K11/'Raw TV Data'!K11,0)</f>
        <v/>
      </c>
      <c r="M9" s="18">
        <f>IFERROR('Raw OI Data'!K12/'Raw TV Data'!K12,0)</f>
        <v/>
      </c>
      <c r="N9" s="18">
        <f>IFERROR('Raw OI Data'!K13/'Raw TV Data'!K13,0)</f>
        <v/>
      </c>
      <c r="O9" s="18">
        <f>IFERROR('Raw OI Data'!K14/'Raw TV Data'!K14,0)</f>
        <v/>
      </c>
      <c r="P9" s="26" t="n"/>
      <c r="Q9" s="18">
        <f>IFERROR('Raw OI Data'!K15/'Raw TV Data'!K15,0)</f>
        <v/>
      </c>
      <c r="R9" s="18">
        <f>IFERROR('Raw OI Data'!K16/'Raw TV Data'!K16,0)</f>
        <v/>
      </c>
      <c r="S9" s="18">
        <f>IFERROR('Raw OI Data'!K17/'Raw TV Data'!K17,0)</f>
        <v/>
      </c>
      <c r="T9" s="18">
        <f>IFERROR('Raw OI Data'!K18/'Raw TV Data'!K18,0)</f>
        <v/>
      </c>
      <c r="U9" s="26" t="n"/>
      <c r="V9" s="18">
        <f>IFERROR('Raw OI Data'!K19/'Raw TV Data'!K19,0)</f>
        <v/>
      </c>
      <c r="W9" s="18">
        <f>IFERROR('Raw OI Data'!K20/'Raw TV Data'!K20,0)</f>
        <v/>
      </c>
      <c r="X9" s="18">
        <f>IFERROR('Raw OI Data'!K21/'Raw TV Data'!K21,0)</f>
        <v/>
      </c>
      <c r="Y9" s="18">
        <f>IFERROR('Raw OI Data'!K22/'Raw TV Data'!K22,0)</f>
        <v/>
      </c>
      <c r="Z9" s="26" t="n"/>
    </row>
    <row r="10" ht="14" customHeight="1">
      <c r="A10" s="25" t="inlineStr">
        <is>
          <t>Stk Put OI/TV</t>
        </is>
      </c>
      <c r="B10" s="16">
        <f>IFERROR('Raw OI Data'!L3/'Raw TV Data'!L3,0)</f>
        <v/>
      </c>
      <c r="C10" s="16">
        <f>IFERROR('Raw OI Data'!L4/'Raw TV Data'!L4,0)</f>
        <v/>
      </c>
      <c r="D10" s="16">
        <f>IFERROR('Raw OI Data'!L5/'Raw TV Data'!L5,0)</f>
        <v/>
      </c>
      <c r="E10" s="16">
        <f>IFERROR('Raw OI Data'!L6/'Raw TV Data'!L6,0)</f>
        <v/>
      </c>
      <c r="F10" s="27" t="n"/>
      <c r="G10" s="16">
        <f>IFERROR('Raw OI Data'!L7/'Raw TV Data'!L7,0)</f>
        <v/>
      </c>
      <c r="H10" s="16">
        <f>IFERROR('Raw OI Data'!L8/'Raw TV Data'!L8,0)</f>
        <v/>
      </c>
      <c r="I10" s="16">
        <f>IFERROR('Raw OI Data'!L9/'Raw TV Data'!L9,0)</f>
        <v/>
      </c>
      <c r="J10" s="16">
        <f>IFERROR('Raw OI Data'!L10/'Raw TV Data'!L10,0)</f>
        <v/>
      </c>
      <c r="K10" s="27" t="n"/>
      <c r="L10" s="16">
        <f>IFERROR('Raw OI Data'!L11/'Raw TV Data'!L11,0)</f>
        <v/>
      </c>
      <c r="M10" s="16">
        <f>IFERROR('Raw OI Data'!L12/'Raw TV Data'!L12,0)</f>
        <v/>
      </c>
      <c r="N10" s="16">
        <f>IFERROR('Raw OI Data'!L13/'Raw TV Data'!L13,0)</f>
        <v/>
      </c>
      <c r="O10" s="16">
        <f>IFERROR('Raw OI Data'!L14/'Raw TV Data'!L14,0)</f>
        <v/>
      </c>
      <c r="P10" s="27" t="n"/>
      <c r="Q10" s="16">
        <f>IFERROR('Raw OI Data'!L15/'Raw TV Data'!L15,0)</f>
        <v/>
      </c>
      <c r="R10" s="16">
        <f>IFERROR('Raw OI Data'!L16/'Raw TV Data'!L16,0)</f>
        <v/>
      </c>
      <c r="S10" s="16">
        <f>IFERROR('Raw OI Data'!L17/'Raw TV Data'!L17,0)</f>
        <v/>
      </c>
      <c r="T10" s="16">
        <f>IFERROR('Raw OI Data'!L18/'Raw TV Data'!L18,0)</f>
        <v/>
      </c>
      <c r="U10" s="27" t="n"/>
      <c r="V10" s="16">
        <f>IFERROR('Raw OI Data'!L19/'Raw TV Data'!L19,0)</f>
        <v/>
      </c>
      <c r="W10" s="16">
        <f>IFERROR('Raw OI Data'!L20/'Raw TV Data'!L20,0)</f>
        <v/>
      </c>
      <c r="X10" s="16">
        <f>IFERROR('Raw OI Data'!L21/'Raw TV Data'!L21,0)</f>
        <v/>
      </c>
      <c r="Y10" s="16">
        <f>IFERROR('Raw OI Data'!L22/'Raw TV Data'!L22,0)</f>
        <v/>
      </c>
      <c r="Z10" s="27" t="n"/>
    </row>
    <row r="11" ht="14" customHeight="1">
      <c r="A11" s="25" t="inlineStr">
        <is>
          <t>Total OI/TV</t>
        </is>
      </c>
      <c r="B11" s="18">
        <f>IFERROR('Raw OI Data'!O3/'Raw TV Data'!O3,0)</f>
        <v/>
      </c>
      <c r="C11" s="18">
        <f>IFERROR('Raw OI Data'!O4/'Raw TV Data'!O4,0)</f>
        <v/>
      </c>
      <c r="D11" s="18">
        <f>IFERROR('Raw OI Data'!O5/'Raw TV Data'!O5,0)</f>
        <v/>
      </c>
      <c r="E11" s="18">
        <f>IFERROR('Raw OI Data'!O6/'Raw TV Data'!O6,0)</f>
        <v/>
      </c>
      <c r="F11" s="26" t="n"/>
      <c r="G11" s="18">
        <f>IFERROR('Raw OI Data'!O7/'Raw TV Data'!O7,0)</f>
        <v/>
      </c>
      <c r="H11" s="18">
        <f>IFERROR('Raw OI Data'!O8/'Raw TV Data'!O8,0)</f>
        <v/>
      </c>
      <c r="I11" s="18">
        <f>IFERROR('Raw OI Data'!O9/'Raw TV Data'!O9,0)</f>
        <v/>
      </c>
      <c r="J11" s="18">
        <f>IFERROR('Raw OI Data'!O10/'Raw TV Data'!O10,0)</f>
        <v/>
      </c>
      <c r="K11" s="26" t="n"/>
      <c r="L11" s="18">
        <f>IFERROR('Raw OI Data'!O11/'Raw TV Data'!O11,0)</f>
        <v/>
      </c>
      <c r="M11" s="18">
        <f>IFERROR('Raw OI Data'!O12/'Raw TV Data'!O12,0)</f>
        <v/>
      </c>
      <c r="N11" s="18">
        <f>IFERROR('Raw OI Data'!O13/'Raw TV Data'!O13,0)</f>
        <v/>
      </c>
      <c r="O11" s="18">
        <f>IFERROR('Raw OI Data'!O14/'Raw TV Data'!O14,0)</f>
        <v/>
      </c>
      <c r="P11" s="26" t="n"/>
      <c r="Q11" s="18">
        <f>IFERROR('Raw OI Data'!O15/'Raw TV Data'!O15,0)</f>
        <v/>
      </c>
      <c r="R11" s="18">
        <f>IFERROR('Raw OI Data'!O16/'Raw TV Data'!O16,0)</f>
        <v/>
      </c>
      <c r="S11" s="18">
        <f>IFERROR('Raw OI Data'!O17/'Raw TV Data'!O17,0)</f>
        <v/>
      </c>
      <c r="T11" s="18">
        <f>IFERROR('Raw OI Data'!O18/'Raw TV Data'!O18,0)</f>
        <v/>
      </c>
      <c r="U11" s="26" t="n"/>
      <c r="V11" s="18">
        <f>IFERROR('Raw OI Data'!O19/'Raw TV Data'!O19,0)</f>
        <v/>
      </c>
      <c r="W11" s="18">
        <f>IFERROR('Raw OI Data'!O20/'Raw TV Data'!O20,0)</f>
        <v/>
      </c>
      <c r="X11" s="18">
        <f>IFERROR('Raw OI Data'!O21/'Raw TV Data'!O21,0)</f>
        <v/>
      </c>
      <c r="Y11" s="18">
        <f>IFERROR('Raw OI Data'!O22/'Raw TV Data'!O22,0)</f>
        <v/>
      </c>
      <c r="Z11" s="26" t="n"/>
    </row>
    <row r="12" ht="16" customHeight="1">
      <c r="A12" s="14" t="inlineStr">
        <is>
          <t>NET CONVICTION  (OI direction vs Volume direction — aligned = strong signal)</t>
        </is>
      </c>
    </row>
    <row r="13" ht="14" customHeight="1">
      <c r="A13" s="25" t="inlineStr">
        <is>
          <t>Net Fut Idx OI</t>
        </is>
      </c>
      <c r="B13" s="28">
        <f>'Raw OI Data'!C3-'Raw OI Data'!D3</f>
        <v/>
      </c>
      <c r="C13" s="28">
        <f>'Raw OI Data'!C4-'Raw OI Data'!D4</f>
        <v/>
      </c>
      <c r="D13" s="28">
        <f>'Raw OI Data'!C5-'Raw OI Data'!D5</f>
        <v/>
      </c>
      <c r="E13" s="28">
        <f>'Raw OI Data'!C6-'Raw OI Data'!D6</f>
        <v/>
      </c>
      <c r="F13" s="26" t="n"/>
      <c r="G13" s="28">
        <f>'Raw OI Data'!C7-'Raw OI Data'!D7</f>
        <v/>
      </c>
      <c r="H13" s="28">
        <f>'Raw OI Data'!C8-'Raw OI Data'!D8</f>
        <v/>
      </c>
      <c r="I13" s="28">
        <f>'Raw OI Data'!C9-'Raw OI Data'!D9</f>
        <v/>
      </c>
      <c r="J13" s="28">
        <f>'Raw OI Data'!C10-'Raw OI Data'!D10</f>
        <v/>
      </c>
      <c r="K13" s="26" t="n"/>
      <c r="L13" s="28">
        <f>'Raw OI Data'!C11-'Raw OI Data'!D11</f>
        <v/>
      </c>
      <c r="M13" s="28">
        <f>'Raw OI Data'!C12-'Raw OI Data'!D12</f>
        <v/>
      </c>
      <c r="N13" s="28">
        <f>'Raw OI Data'!C13-'Raw OI Data'!D13</f>
        <v/>
      </c>
      <c r="O13" s="28">
        <f>'Raw OI Data'!C14-'Raw OI Data'!D14</f>
        <v/>
      </c>
      <c r="P13" s="26" t="n"/>
      <c r="Q13" s="28">
        <f>'Raw OI Data'!C15-'Raw OI Data'!D15</f>
        <v/>
      </c>
      <c r="R13" s="28">
        <f>'Raw OI Data'!C16-'Raw OI Data'!D16</f>
        <v/>
      </c>
      <c r="S13" s="28">
        <f>'Raw OI Data'!C17-'Raw OI Data'!D17</f>
        <v/>
      </c>
      <c r="T13" s="28">
        <f>'Raw OI Data'!C18-'Raw OI Data'!D18</f>
        <v/>
      </c>
      <c r="U13" s="26" t="n"/>
      <c r="V13" s="28">
        <f>'Raw OI Data'!C19-'Raw OI Data'!D19</f>
        <v/>
      </c>
      <c r="W13" s="28">
        <f>'Raw OI Data'!C20-'Raw OI Data'!D20</f>
        <v/>
      </c>
      <c r="X13" s="28">
        <f>'Raw OI Data'!C21-'Raw OI Data'!D21</f>
        <v/>
      </c>
      <c r="Y13" s="28">
        <f>'Raw OI Data'!C22-'Raw OI Data'!D22</f>
        <v/>
      </c>
      <c r="Z13" s="26" t="n"/>
    </row>
    <row r="14" ht="14" customHeight="1">
      <c r="A14" s="25" t="inlineStr">
        <is>
          <t>Net Fut Idx Vol</t>
        </is>
      </c>
      <c r="B14" s="32">
        <f>'Raw TV Data'!C3-'Raw TV Data'!D3</f>
        <v/>
      </c>
      <c r="C14" s="32">
        <f>'Raw TV Data'!C4-'Raw TV Data'!D4</f>
        <v/>
      </c>
      <c r="D14" s="32">
        <f>'Raw TV Data'!C5-'Raw TV Data'!D5</f>
        <v/>
      </c>
      <c r="E14" s="32">
        <f>'Raw TV Data'!C6-'Raw TV Data'!D6</f>
        <v/>
      </c>
      <c r="F14" s="27" t="n"/>
      <c r="G14" s="32">
        <f>'Raw TV Data'!C7-'Raw TV Data'!D7</f>
        <v/>
      </c>
      <c r="H14" s="32">
        <f>'Raw TV Data'!C8-'Raw TV Data'!D8</f>
        <v/>
      </c>
      <c r="I14" s="32">
        <f>'Raw TV Data'!C9-'Raw TV Data'!D9</f>
        <v/>
      </c>
      <c r="J14" s="32">
        <f>'Raw TV Data'!C10-'Raw TV Data'!D10</f>
        <v/>
      </c>
      <c r="K14" s="27" t="n"/>
      <c r="L14" s="32">
        <f>'Raw TV Data'!C11-'Raw TV Data'!D11</f>
        <v/>
      </c>
      <c r="M14" s="32">
        <f>'Raw TV Data'!C12-'Raw TV Data'!D12</f>
        <v/>
      </c>
      <c r="N14" s="32">
        <f>'Raw TV Data'!C13-'Raw TV Data'!D13</f>
        <v/>
      </c>
      <c r="O14" s="32">
        <f>'Raw TV Data'!C14-'Raw TV Data'!D14</f>
        <v/>
      </c>
      <c r="P14" s="27" t="n"/>
      <c r="Q14" s="32">
        <f>'Raw TV Data'!C15-'Raw TV Data'!D15</f>
        <v/>
      </c>
      <c r="R14" s="32">
        <f>'Raw TV Data'!C16-'Raw TV Data'!D16</f>
        <v/>
      </c>
      <c r="S14" s="32">
        <f>'Raw TV Data'!C17-'Raw TV Data'!D17</f>
        <v/>
      </c>
      <c r="T14" s="32">
        <f>'Raw TV Data'!C18-'Raw TV Data'!D18</f>
        <v/>
      </c>
      <c r="U14" s="27" t="n"/>
      <c r="V14" s="32">
        <f>'Raw TV Data'!C19-'Raw TV Data'!D19</f>
        <v/>
      </c>
      <c r="W14" s="32">
        <f>'Raw TV Data'!C20-'Raw TV Data'!D20</f>
        <v/>
      </c>
      <c r="X14" s="32">
        <f>'Raw TV Data'!C21-'Raw TV Data'!D21</f>
        <v/>
      </c>
      <c r="Y14" s="32">
        <f>'Raw TV Data'!C22-'Raw TV Data'!D22</f>
        <v/>
      </c>
      <c r="Z14" s="27" t="n"/>
    </row>
    <row r="15" ht="14" customHeight="1">
      <c r="A15" s="25" t="inlineStr">
        <is>
          <t>Net Idx Call OI</t>
        </is>
      </c>
      <c r="B15" s="28">
        <f>'Raw OI Data'!G3-'Raw OI Data'!I3</f>
        <v/>
      </c>
      <c r="C15" s="28">
        <f>'Raw OI Data'!G4-'Raw OI Data'!I4</f>
        <v/>
      </c>
      <c r="D15" s="28">
        <f>'Raw OI Data'!G5-'Raw OI Data'!I5</f>
        <v/>
      </c>
      <c r="E15" s="28">
        <f>'Raw OI Data'!G6-'Raw OI Data'!I6</f>
        <v/>
      </c>
      <c r="F15" s="26" t="n"/>
      <c r="G15" s="28">
        <f>'Raw OI Data'!G7-'Raw OI Data'!I7</f>
        <v/>
      </c>
      <c r="H15" s="28">
        <f>'Raw OI Data'!G8-'Raw OI Data'!I8</f>
        <v/>
      </c>
      <c r="I15" s="28">
        <f>'Raw OI Data'!G9-'Raw OI Data'!I9</f>
        <v/>
      </c>
      <c r="J15" s="28">
        <f>'Raw OI Data'!G10-'Raw OI Data'!I10</f>
        <v/>
      </c>
      <c r="K15" s="26" t="n"/>
      <c r="L15" s="28">
        <f>'Raw OI Data'!G11-'Raw OI Data'!I11</f>
        <v/>
      </c>
      <c r="M15" s="28">
        <f>'Raw OI Data'!G12-'Raw OI Data'!I12</f>
        <v/>
      </c>
      <c r="N15" s="28">
        <f>'Raw OI Data'!G13-'Raw OI Data'!I13</f>
        <v/>
      </c>
      <c r="O15" s="28">
        <f>'Raw OI Data'!G14-'Raw OI Data'!I14</f>
        <v/>
      </c>
      <c r="P15" s="26" t="n"/>
      <c r="Q15" s="28">
        <f>'Raw OI Data'!G15-'Raw OI Data'!I15</f>
        <v/>
      </c>
      <c r="R15" s="28">
        <f>'Raw OI Data'!G16-'Raw OI Data'!I16</f>
        <v/>
      </c>
      <c r="S15" s="28">
        <f>'Raw OI Data'!G17-'Raw OI Data'!I17</f>
        <v/>
      </c>
      <c r="T15" s="28">
        <f>'Raw OI Data'!G18-'Raw OI Data'!I18</f>
        <v/>
      </c>
      <c r="U15" s="26" t="n"/>
      <c r="V15" s="28">
        <f>'Raw OI Data'!G19-'Raw OI Data'!I19</f>
        <v/>
      </c>
      <c r="W15" s="28">
        <f>'Raw OI Data'!G20-'Raw OI Data'!I20</f>
        <v/>
      </c>
      <c r="X15" s="28">
        <f>'Raw OI Data'!G21-'Raw OI Data'!I21</f>
        <v/>
      </c>
      <c r="Y15" s="28">
        <f>'Raw OI Data'!G22-'Raw OI Data'!I22</f>
        <v/>
      </c>
      <c r="Z15" s="26" t="n"/>
    </row>
    <row r="16" ht="14" customHeight="1">
      <c r="A16" s="25" t="inlineStr">
        <is>
          <t>Net Idx Call Vol</t>
        </is>
      </c>
      <c r="B16" s="32">
        <f>'Raw TV Data'!G3-'Raw TV Data'!I3</f>
        <v/>
      </c>
      <c r="C16" s="32">
        <f>'Raw TV Data'!G4-'Raw TV Data'!I4</f>
        <v/>
      </c>
      <c r="D16" s="32">
        <f>'Raw TV Data'!G5-'Raw TV Data'!I5</f>
        <v/>
      </c>
      <c r="E16" s="32">
        <f>'Raw TV Data'!G6-'Raw TV Data'!I6</f>
        <v/>
      </c>
      <c r="F16" s="27" t="n"/>
      <c r="G16" s="32">
        <f>'Raw TV Data'!G7-'Raw TV Data'!I7</f>
        <v/>
      </c>
      <c r="H16" s="32">
        <f>'Raw TV Data'!G8-'Raw TV Data'!I8</f>
        <v/>
      </c>
      <c r="I16" s="32">
        <f>'Raw TV Data'!G9-'Raw TV Data'!I9</f>
        <v/>
      </c>
      <c r="J16" s="32">
        <f>'Raw TV Data'!G10-'Raw TV Data'!I10</f>
        <v/>
      </c>
      <c r="K16" s="27" t="n"/>
      <c r="L16" s="32">
        <f>'Raw TV Data'!G11-'Raw TV Data'!I11</f>
        <v/>
      </c>
      <c r="M16" s="32">
        <f>'Raw TV Data'!G12-'Raw TV Data'!I12</f>
        <v/>
      </c>
      <c r="N16" s="32">
        <f>'Raw TV Data'!G13-'Raw TV Data'!I13</f>
        <v/>
      </c>
      <c r="O16" s="32">
        <f>'Raw TV Data'!G14-'Raw TV Data'!I14</f>
        <v/>
      </c>
      <c r="P16" s="27" t="n"/>
      <c r="Q16" s="32">
        <f>'Raw TV Data'!G15-'Raw TV Data'!I15</f>
        <v/>
      </c>
      <c r="R16" s="32">
        <f>'Raw TV Data'!G16-'Raw TV Data'!I16</f>
        <v/>
      </c>
      <c r="S16" s="32">
        <f>'Raw TV Data'!G17-'Raw TV Data'!I17</f>
        <v/>
      </c>
      <c r="T16" s="32">
        <f>'Raw TV Data'!G18-'Raw TV Data'!I18</f>
        <v/>
      </c>
      <c r="U16" s="27" t="n"/>
      <c r="V16" s="32">
        <f>'Raw TV Data'!G19-'Raw TV Data'!I19</f>
        <v/>
      </c>
      <c r="W16" s="32">
        <f>'Raw TV Data'!G20-'Raw TV Data'!I20</f>
        <v/>
      </c>
      <c r="X16" s="32">
        <f>'Raw TV Data'!G21-'Raw TV Data'!I21</f>
        <v/>
      </c>
      <c r="Y16" s="32">
        <f>'Raw TV Data'!G22-'Raw TV Data'!I22</f>
        <v/>
      </c>
      <c r="Z16" s="27" t="n"/>
    </row>
    <row r="17" ht="14" customHeight="1">
      <c r="A17" s="25" t="inlineStr">
        <is>
          <t>Net Idx Put OI</t>
        </is>
      </c>
      <c r="B17" s="28">
        <f>'Raw OI Data'!H3-'Raw OI Data'!J3</f>
        <v/>
      </c>
      <c r="C17" s="28">
        <f>'Raw OI Data'!H4-'Raw OI Data'!J4</f>
        <v/>
      </c>
      <c r="D17" s="28">
        <f>'Raw OI Data'!H5-'Raw OI Data'!J5</f>
        <v/>
      </c>
      <c r="E17" s="28">
        <f>'Raw OI Data'!H6-'Raw OI Data'!J6</f>
        <v/>
      </c>
      <c r="F17" s="26" t="n"/>
      <c r="G17" s="28">
        <f>'Raw OI Data'!H7-'Raw OI Data'!J7</f>
        <v/>
      </c>
      <c r="H17" s="28">
        <f>'Raw OI Data'!H8-'Raw OI Data'!J8</f>
        <v/>
      </c>
      <c r="I17" s="28">
        <f>'Raw OI Data'!H9-'Raw OI Data'!J9</f>
        <v/>
      </c>
      <c r="J17" s="28">
        <f>'Raw OI Data'!H10-'Raw OI Data'!J10</f>
        <v/>
      </c>
      <c r="K17" s="26" t="n"/>
      <c r="L17" s="28">
        <f>'Raw OI Data'!H11-'Raw OI Data'!J11</f>
        <v/>
      </c>
      <c r="M17" s="28">
        <f>'Raw OI Data'!H12-'Raw OI Data'!J12</f>
        <v/>
      </c>
      <c r="N17" s="28">
        <f>'Raw OI Data'!H13-'Raw OI Data'!J13</f>
        <v/>
      </c>
      <c r="O17" s="28">
        <f>'Raw OI Data'!H14-'Raw OI Data'!J14</f>
        <v/>
      </c>
      <c r="P17" s="26" t="n"/>
      <c r="Q17" s="28">
        <f>'Raw OI Data'!H15-'Raw OI Data'!J15</f>
        <v/>
      </c>
      <c r="R17" s="28">
        <f>'Raw OI Data'!H16-'Raw OI Data'!J16</f>
        <v/>
      </c>
      <c r="S17" s="28">
        <f>'Raw OI Data'!H17-'Raw OI Data'!J17</f>
        <v/>
      </c>
      <c r="T17" s="28">
        <f>'Raw OI Data'!H18-'Raw OI Data'!J18</f>
        <v/>
      </c>
      <c r="U17" s="26" t="n"/>
      <c r="V17" s="28">
        <f>'Raw OI Data'!H19-'Raw OI Data'!J19</f>
        <v/>
      </c>
      <c r="W17" s="28">
        <f>'Raw OI Data'!H20-'Raw OI Data'!J20</f>
        <v/>
      </c>
      <c r="X17" s="28">
        <f>'Raw OI Data'!H21-'Raw OI Data'!J21</f>
        <v/>
      </c>
      <c r="Y17" s="28">
        <f>'Raw OI Data'!H22-'Raw OI Data'!J22</f>
        <v/>
      </c>
      <c r="Z17" s="26" t="n"/>
    </row>
    <row r="18" ht="14" customHeight="1">
      <c r="A18" s="25" t="inlineStr">
        <is>
          <t>Net Idx Put Vol</t>
        </is>
      </c>
      <c r="B18" s="32">
        <f>'Raw TV Data'!H3-'Raw TV Data'!J3</f>
        <v/>
      </c>
      <c r="C18" s="32">
        <f>'Raw TV Data'!H4-'Raw TV Data'!J4</f>
        <v/>
      </c>
      <c r="D18" s="32">
        <f>'Raw TV Data'!H5-'Raw TV Data'!J5</f>
        <v/>
      </c>
      <c r="E18" s="32">
        <f>'Raw TV Data'!H6-'Raw TV Data'!J6</f>
        <v/>
      </c>
      <c r="F18" s="27" t="n"/>
      <c r="G18" s="32">
        <f>'Raw TV Data'!H7-'Raw TV Data'!J7</f>
        <v/>
      </c>
      <c r="H18" s="32">
        <f>'Raw TV Data'!H8-'Raw TV Data'!J8</f>
        <v/>
      </c>
      <c r="I18" s="32">
        <f>'Raw TV Data'!H9-'Raw TV Data'!J9</f>
        <v/>
      </c>
      <c r="J18" s="32">
        <f>'Raw TV Data'!H10-'Raw TV Data'!J10</f>
        <v/>
      </c>
      <c r="K18" s="27" t="n"/>
      <c r="L18" s="32">
        <f>'Raw TV Data'!H11-'Raw TV Data'!J11</f>
        <v/>
      </c>
      <c r="M18" s="32">
        <f>'Raw TV Data'!H12-'Raw TV Data'!J12</f>
        <v/>
      </c>
      <c r="N18" s="32">
        <f>'Raw TV Data'!H13-'Raw TV Data'!J13</f>
        <v/>
      </c>
      <c r="O18" s="32">
        <f>'Raw TV Data'!H14-'Raw TV Data'!J14</f>
        <v/>
      </c>
      <c r="P18" s="27" t="n"/>
      <c r="Q18" s="32">
        <f>'Raw TV Data'!H15-'Raw TV Data'!J15</f>
        <v/>
      </c>
      <c r="R18" s="32">
        <f>'Raw TV Data'!H16-'Raw TV Data'!J16</f>
        <v/>
      </c>
      <c r="S18" s="32">
        <f>'Raw TV Data'!H17-'Raw TV Data'!J17</f>
        <v/>
      </c>
      <c r="T18" s="32">
        <f>'Raw TV Data'!H18-'Raw TV Data'!J18</f>
        <v/>
      </c>
      <c r="U18" s="27" t="n"/>
      <c r="V18" s="32">
        <f>'Raw TV Data'!H19-'Raw TV Data'!J19</f>
        <v/>
      </c>
      <c r="W18" s="32">
        <f>'Raw TV Data'!H20-'Raw TV Data'!J20</f>
        <v/>
      </c>
      <c r="X18" s="32">
        <f>'Raw TV Data'!H21-'Raw TV Data'!J21</f>
        <v/>
      </c>
      <c r="Y18" s="32">
        <f>'Raw TV Data'!H22-'Raw TV Data'!J22</f>
        <v/>
      </c>
      <c r="Z18" s="27" t="n"/>
    </row>
  </sheetData>
  <mergeCells count="8">
    <mergeCell ref="A1:Z1"/>
    <mergeCell ref="V2:Y2"/>
    <mergeCell ref="L2:O2"/>
    <mergeCell ref="A4:Z4"/>
    <mergeCell ref="G2:J2"/>
    <mergeCell ref="A12:Z12"/>
    <mergeCell ref="B2:E2"/>
    <mergeCell ref="Q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  <col width="14" customWidth="1" min="14" max="14"/>
    <col width="14" customWidth="1" min="15" max="15"/>
    <col width="2" customWidth="1" min="16" max="16"/>
    <col width="14" customWidth="1" min="17" max="17"/>
    <col width="14" customWidth="1" min="18" max="18"/>
    <col width="14" customWidth="1" min="19" max="19"/>
    <col width="14" customWidth="1" min="20" max="20"/>
    <col width="2" customWidth="1" min="21" max="21"/>
  </cols>
  <sheetData>
    <row r="1" ht="22" customHeight="1">
      <c r="A1" s="1" t="inlineStr">
        <is>
          <t>NSE FAO — Day-on-Day OI &amp; Volume Changes</t>
        </is>
      </c>
    </row>
    <row r="2" ht="28" customHeight="1">
      <c r="A2" s="19" t="inlineStr">
        <is>
          <t>Metric</t>
        </is>
      </c>
      <c r="B2" s="36" t="inlineStr">
        <is>
          <t>Jul 06 2026 → Jul 07 2026</t>
        </is>
      </c>
      <c r="C2" s="20" t="n"/>
      <c r="D2" s="20" t="n"/>
      <c r="E2" s="20" t="n"/>
      <c r="F2" s="20" t="n"/>
      <c r="G2" s="36" t="inlineStr">
        <is>
          <t>Jul 07 2026 → Jul 08 2026</t>
        </is>
      </c>
      <c r="H2" s="20" t="n"/>
      <c r="I2" s="20" t="n"/>
      <c r="J2" s="20" t="n"/>
      <c r="K2" s="20" t="n"/>
      <c r="L2" s="36" t="inlineStr">
        <is>
          <t>Jul 08 2026 → Jul 09 2026</t>
        </is>
      </c>
      <c r="M2" s="20" t="n"/>
      <c r="N2" s="20" t="n"/>
      <c r="O2" s="20" t="n"/>
      <c r="P2" s="20" t="n"/>
      <c r="Q2" s="36" t="inlineStr">
        <is>
          <t>Jul 09 2026 → Jul 10 2026</t>
        </is>
      </c>
      <c r="R2" s="20" t="n"/>
      <c r="S2" s="20" t="n"/>
      <c r="T2" s="20" t="n"/>
      <c r="U2" s="20" t="n"/>
    </row>
    <row r="3" ht="16" customHeight="1">
      <c r="A3" s="22" t="inlineStr"/>
      <c r="B3" s="23" t="inlineStr">
        <is>
          <t>Client</t>
        </is>
      </c>
      <c r="C3" s="23" t="inlineStr">
        <is>
          <t>DII</t>
        </is>
      </c>
      <c r="D3" s="23" t="inlineStr">
        <is>
          <t>FII</t>
        </is>
      </c>
      <c r="E3" s="23" t="inlineStr">
        <is>
          <t>Pro</t>
        </is>
      </c>
      <c r="F3" s="24" t="n"/>
      <c r="G3" s="23" t="inlineStr">
        <is>
          <t>Client</t>
        </is>
      </c>
      <c r="H3" s="23" t="inlineStr">
        <is>
          <t>DII</t>
        </is>
      </c>
      <c r="I3" s="23" t="inlineStr">
        <is>
          <t>FII</t>
        </is>
      </c>
      <c r="J3" s="23" t="inlineStr">
        <is>
          <t>Pro</t>
        </is>
      </c>
      <c r="K3" s="24" t="n"/>
      <c r="L3" s="23" t="inlineStr">
        <is>
          <t>Client</t>
        </is>
      </c>
      <c r="M3" s="23" t="inlineStr">
        <is>
          <t>DII</t>
        </is>
      </c>
      <c r="N3" s="23" t="inlineStr">
        <is>
          <t>FII</t>
        </is>
      </c>
      <c r="O3" s="23" t="inlineStr">
        <is>
          <t>Pro</t>
        </is>
      </c>
      <c r="P3" s="24" t="n"/>
      <c r="Q3" s="23" t="inlineStr">
        <is>
          <t>Client</t>
        </is>
      </c>
      <c r="R3" s="23" t="inlineStr">
        <is>
          <t>DII</t>
        </is>
      </c>
      <c r="S3" s="23" t="inlineStr">
        <is>
          <t>FII</t>
        </is>
      </c>
      <c r="T3" s="23" t="inlineStr">
        <is>
          <t>Pro</t>
        </is>
      </c>
      <c r="U3" s="24" t="n"/>
    </row>
    <row r="4" ht="16" customHeight="1">
      <c r="A4" s="14" t="inlineStr">
        <is>
          <t>OI CHANGES  (current session − previous session)</t>
        </is>
      </c>
    </row>
    <row r="5" ht="14" customHeight="1">
      <c r="A5" s="25" t="inlineStr">
        <is>
          <t>Δ Fut Index Long</t>
        </is>
      </c>
      <c r="B5" s="28">
        <f>'Raw OI Data'!C7-'Raw OI Data'!C3</f>
        <v/>
      </c>
      <c r="C5" s="28">
        <f>'Raw OI Data'!C8-'Raw OI Data'!C4</f>
        <v/>
      </c>
      <c r="D5" s="28">
        <f>'Raw OI Data'!C9-'Raw OI Data'!C5</f>
        <v/>
      </c>
      <c r="E5" s="28">
        <f>'Raw OI Data'!C10-'Raw OI Data'!C6</f>
        <v/>
      </c>
      <c r="F5" s="26" t="n"/>
      <c r="G5" s="28">
        <f>'Raw OI Data'!C11-'Raw OI Data'!C7</f>
        <v/>
      </c>
      <c r="H5" s="28">
        <f>'Raw OI Data'!C12-'Raw OI Data'!C8</f>
        <v/>
      </c>
      <c r="I5" s="28">
        <f>'Raw OI Data'!C13-'Raw OI Data'!C9</f>
        <v/>
      </c>
      <c r="J5" s="28">
        <f>'Raw OI Data'!C14-'Raw OI Data'!C10</f>
        <v/>
      </c>
      <c r="K5" s="26" t="n"/>
      <c r="L5" s="28">
        <f>'Raw OI Data'!C15-'Raw OI Data'!C11</f>
        <v/>
      </c>
      <c r="M5" s="28">
        <f>'Raw OI Data'!C16-'Raw OI Data'!C12</f>
        <v/>
      </c>
      <c r="N5" s="28">
        <f>'Raw OI Data'!C17-'Raw OI Data'!C13</f>
        <v/>
      </c>
      <c r="O5" s="28">
        <f>'Raw OI Data'!C18-'Raw OI Data'!C14</f>
        <v/>
      </c>
      <c r="P5" s="26" t="n"/>
      <c r="Q5" s="28">
        <f>'Raw OI Data'!C19-'Raw OI Data'!C15</f>
        <v/>
      </c>
      <c r="R5" s="28">
        <f>'Raw OI Data'!C20-'Raw OI Data'!C16</f>
        <v/>
      </c>
      <c r="S5" s="28">
        <f>'Raw OI Data'!C21-'Raw OI Data'!C17</f>
        <v/>
      </c>
      <c r="T5" s="28">
        <f>'Raw OI Data'!C22-'Raw OI Data'!C18</f>
        <v/>
      </c>
      <c r="U5" s="26" t="n"/>
    </row>
    <row r="6" ht="14" customHeight="1">
      <c r="A6" s="25" t="inlineStr">
        <is>
          <t>Δ Fut Index Short</t>
        </is>
      </c>
      <c r="B6" s="32">
        <f>'Raw OI Data'!D7-'Raw OI Data'!D3</f>
        <v/>
      </c>
      <c r="C6" s="32">
        <f>'Raw OI Data'!D8-'Raw OI Data'!D4</f>
        <v/>
      </c>
      <c r="D6" s="32">
        <f>'Raw OI Data'!D9-'Raw OI Data'!D5</f>
        <v/>
      </c>
      <c r="E6" s="32">
        <f>'Raw OI Data'!D10-'Raw OI Data'!D6</f>
        <v/>
      </c>
      <c r="F6" s="27" t="n"/>
      <c r="G6" s="32">
        <f>'Raw OI Data'!D11-'Raw OI Data'!D7</f>
        <v/>
      </c>
      <c r="H6" s="32">
        <f>'Raw OI Data'!D12-'Raw OI Data'!D8</f>
        <v/>
      </c>
      <c r="I6" s="32">
        <f>'Raw OI Data'!D13-'Raw OI Data'!D9</f>
        <v/>
      </c>
      <c r="J6" s="32">
        <f>'Raw OI Data'!D14-'Raw OI Data'!D10</f>
        <v/>
      </c>
      <c r="K6" s="27" t="n"/>
      <c r="L6" s="32">
        <f>'Raw OI Data'!D15-'Raw OI Data'!D11</f>
        <v/>
      </c>
      <c r="M6" s="32">
        <f>'Raw OI Data'!D16-'Raw OI Data'!D12</f>
        <v/>
      </c>
      <c r="N6" s="32">
        <f>'Raw OI Data'!D17-'Raw OI Data'!D13</f>
        <v/>
      </c>
      <c r="O6" s="32">
        <f>'Raw OI Data'!D18-'Raw OI Data'!D14</f>
        <v/>
      </c>
      <c r="P6" s="27" t="n"/>
      <c r="Q6" s="32">
        <f>'Raw OI Data'!D19-'Raw OI Data'!D15</f>
        <v/>
      </c>
      <c r="R6" s="32">
        <f>'Raw OI Data'!D20-'Raw OI Data'!D16</f>
        <v/>
      </c>
      <c r="S6" s="32">
        <f>'Raw OI Data'!D21-'Raw OI Data'!D17</f>
        <v/>
      </c>
      <c r="T6" s="32">
        <f>'Raw OI Data'!D22-'Raw OI Data'!D18</f>
        <v/>
      </c>
      <c r="U6" s="27" t="n"/>
    </row>
    <row r="7" ht="14" customHeight="1">
      <c r="A7" s="25" t="inlineStr">
        <is>
          <t>Δ Net Fut Index OI</t>
        </is>
      </c>
      <c r="B7" s="28">
        <f>('Raw OI Data'!C7-'Raw OI Data'!D7)-('Raw OI Data'!C3-'Raw OI Data'!D3)</f>
        <v/>
      </c>
      <c r="C7" s="28">
        <f>('Raw OI Data'!C8-'Raw OI Data'!D8)-('Raw OI Data'!C4-'Raw OI Data'!D4)</f>
        <v/>
      </c>
      <c r="D7" s="28">
        <f>('Raw OI Data'!C9-'Raw OI Data'!D9)-('Raw OI Data'!C5-'Raw OI Data'!D5)</f>
        <v/>
      </c>
      <c r="E7" s="28">
        <f>('Raw OI Data'!C10-'Raw OI Data'!D10)-('Raw OI Data'!C6-'Raw OI Data'!D6)</f>
        <v/>
      </c>
      <c r="F7" s="26" t="n"/>
      <c r="G7" s="28">
        <f>('Raw OI Data'!C11-'Raw OI Data'!D11)-('Raw OI Data'!C7-'Raw OI Data'!D7)</f>
        <v/>
      </c>
      <c r="H7" s="28">
        <f>('Raw OI Data'!C12-'Raw OI Data'!D12)-('Raw OI Data'!C8-'Raw OI Data'!D8)</f>
        <v/>
      </c>
      <c r="I7" s="28">
        <f>('Raw OI Data'!C13-'Raw OI Data'!D13)-('Raw OI Data'!C9-'Raw OI Data'!D9)</f>
        <v/>
      </c>
      <c r="J7" s="28">
        <f>('Raw OI Data'!C14-'Raw OI Data'!D14)-('Raw OI Data'!C10-'Raw OI Data'!D10)</f>
        <v/>
      </c>
      <c r="K7" s="26" t="n"/>
      <c r="L7" s="28">
        <f>('Raw OI Data'!C15-'Raw OI Data'!D15)-('Raw OI Data'!C11-'Raw OI Data'!D11)</f>
        <v/>
      </c>
      <c r="M7" s="28">
        <f>('Raw OI Data'!C16-'Raw OI Data'!D16)-('Raw OI Data'!C12-'Raw OI Data'!D12)</f>
        <v/>
      </c>
      <c r="N7" s="28">
        <f>('Raw OI Data'!C17-'Raw OI Data'!D17)-('Raw OI Data'!C13-'Raw OI Data'!D13)</f>
        <v/>
      </c>
      <c r="O7" s="28">
        <f>('Raw OI Data'!C18-'Raw OI Data'!D18)-('Raw OI Data'!C14-'Raw OI Data'!D14)</f>
        <v/>
      </c>
      <c r="P7" s="26" t="n"/>
      <c r="Q7" s="28">
        <f>('Raw OI Data'!C19-'Raw OI Data'!D19)-('Raw OI Data'!C15-'Raw OI Data'!D15)</f>
        <v/>
      </c>
      <c r="R7" s="28">
        <f>('Raw OI Data'!C20-'Raw OI Data'!D20)-('Raw OI Data'!C16-'Raw OI Data'!D16)</f>
        <v/>
      </c>
      <c r="S7" s="28">
        <f>('Raw OI Data'!C21-'Raw OI Data'!D21)-('Raw OI Data'!C17-'Raw OI Data'!D17)</f>
        <v/>
      </c>
      <c r="T7" s="28">
        <f>('Raw OI Data'!C22-'Raw OI Data'!D22)-('Raw OI Data'!C18-'Raw OI Data'!D18)</f>
        <v/>
      </c>
      <c r="U7" s="26" t="n"/>
    </row>
    <row r="8" ht="14" customHeight="1">
      <c r="A8" s="25" t="inlineStr">
        <is>
          <t>Δ Fut Stock Long</t>
        </is>
      </c>
      <c r="B8" s="32">
        <f>'Raw OI Data'!E7-'Raw OI Data'!E3</f>
        <v/>
      </c>
      <c r="C8" s="32">
        <f>'Raw OI Data'!E8-'Raw OI Data'!E4</f>
        <v/>
      </c>
      <c r="D8" s="32">
        <f>'Raw OI Data'!E9-'Raw OI Data'!E5</f>
        <v/>
      </c>
      <c r="E8" s="32">
        <f>'Raw OI Data'!E10-'Raw OI Data'!E6</f>
        <v/>
      </c>
      <c r="F8" s="27" t="n"/>
      <c r="G8" s="32">
        <f>'Raw OI Data'!E11-'Raw OI Data'!E7</f>
        <v/>
      </c>
      <c r="H8" s="32">
        <f>'Raw OI Data'!E12-'Raw OI Data'!E8</f>
        <v/>
      </c>
      <c r="I8" s="32">
        <f>'Raw OI Data'!E13-'Raw OI Data'!E9</f>
        <v/>
      </c>
      <c r="J8" s="32">
        <f>'Raw OI Data'!E14-'Raw OI Data'!E10</f>
        <v/>
      </c>
      <c r="K8" s="27" t="n"/>
      <c r="L8" s="32">
        <f>'Raw OI Data'!E15-'Raw OI Data'!E11</f>
        <v/>
      </c>
      <c r="M8" s="32">
        <f>'Raw OI Data'!E16-'Raw OI Data'!E12</f>
        <v/>
      </c>
      <c r="N8" s="32">
        <f>'Raw OI Data'!E17-'Raw OI Data'!E13</f>
        <v/>
      </c>
      <c r="O8" s="32">
        <f>'Raw OI Data'!E18-'Raw OI Data'!E14</f>
        <v/>
      </c>
      <c r="P8" s="27" t="n"/>
      <c r="Q8" s="32">
        <f>'Raw OI Data'!E19-'Raw OI Data'!E15</f>
        <v/>
      </c>
      <c r="R8" s="32">
        <f>'Raw OI Data'!E20-'Raw OI Data'!E16</f>
        <v/>
      </c>
      <c r="S8" s="32">
        <f>'Raw OI Data'!E21-'Raw OI Data'!E17</f>
        <v/>
      </c>
      <c r="T8" s="32">
        <f>'Raw OI Data'!E22-'Raw OI Data'!E18</f>
        <v/>
      </c>
      <c r="U8" s="27" t="n"/>
    </row>
    <row r="9" ht="14" customHeight="1">
      <c r="A9" s="25" t="inlineStr">
        <is>
          <t>Δ Fut Stock Short</t>
        </is>
      </c>
      <c r="B9" s="28">
        <f>'Raw OI Data'!F7-'Raw OI Data'!F3</f>
        <v/>
      </c>
      <c r="C9" s="28">
        <f>'Raw OI Data'!F8-'Raw OI Data'!F4</f>
        <v/>
      </c>
      <c r="D9" s="28">
        <f>'Raw OI Data'!F9-'Raw OI Data'!F5</f>
        <v/>
      </c>
      <c r="E9" s="28">
        <f>'Raw OI Data'!F10-'Raw OI Data'!F6</f>
        <v/>
      </c>
      <c r="F9" s="26" t="n"/>
      <c r="G9" s="28">
        <f>'Raw OI Data'!F11-'Raw OI Data'!F7</f>
        <v/>
      </c>
      <c r="H9" s="28">
        <f>'Raw OI Data'!F12-'Raw OI Data'!F8</f>
        <v/>
      </c>
      <c r="I9" s="28">
        <f>'Raw OI Data'!F13-'Raw OI Data'!F9</f>
        <v/>
      </c>
      <c r="J9" s="28">
        <f>'Raw OI Data'!F14-'Raw OI Data'!F10</f>
        <v/>
      </c>
      <c r="K9" s="26" t="n"/>
      <c r="L9" s="28">
        <f>'Raw OI Data'!F15-'Raw OI Data'!F11</f>
        <v/>
      </c>
      <c r="M9" s="28">
        <f>'Raw OI Data'!F16-'Raw OI Data'!F12</f>
        <v/>
      </c>
      <c r="N9" s="28">
        <f>'Raw OI Data'!F17-'Raw OI Data'!F13</f>
        <v/>
      </c>
      <c r="O9" s="28">
        <f>'Raw OI Data'!F18-'Raw OI Data'!F14</f>
        <v/>
      </c>
      <c r="P9" s="26" t="n"/>
      <c r="Q9" s="28">
        <f>'Raw OI Data'!F19-'Raw OI Data'!F15</f>
        <v/>
      </c>
      <c r="R9" s="28">
        <f>'Raw OI Data'!F20-'Raw OI Data'!F16</f>
        <v/>
      </c>
      <c r="S9" s="28">
        <f>'Raw OI Data'!F21-'Raw OI Data'!F17</f>
        <v/>
      </c>
      <c r="T9" s="28">
        <f>'Raw OI Data'!F22-'Raw OI Data'!F18</f>
        <v/>
      </c>
      <c r="U9" s="26" t="n"/>
    </row>
    <row r="10" ht="14" customHeight="1">
      <c r="A10" s="25" t="inlineStr">
        <is>
          <t>Δ Net Fut Stock OI</t>
        </is>
      </c>
      <c r="B10" s="32">
        <f>('Raw OI Data'!E7-'Raw OI Data'!F7)-('Raw OI Data'!E3-'Raw OI Data'!F3)</f>
        <v/>
      </c>
      <c r="C10" s="32">
        <f>('Raw OI Data'!E8-'Raw OI Data'!F8)-('Raw OI Data'!E4-'Raw OI Data'!F4)</f>
        <v/>
      </c>
      <c r="D10" s="32">
        <f>('Raw OI Data'!E9-'Raw OI Data'!F9)-('Raw OI Data'!E5-'Raw OI Data'!F5)</f>
        <v/>
      </c>
      <c r="E10" s="32">
        <f>('Raw OI Data'!E10-'Raw OI Data'!F10)-('Raw OI Data'!E6-'Raw OI Data'!F6)</f>
        <v/>
      </c>
      <c r="F10" s="27" t="n"/>
      <c r="G10" s="32">
        <f>('Raw OI Data'!E11-'Raw OI Data'!F11)-('Raw OI Data'!E7-'Raw OI Data'!F7)</f>
        <v/>
      </c>
      <c r="H10" s="32">
        <f>('Raw OI Data'!E12-'Raw OI Data'!F12)-('Raw OI Data'!E8-'Raw OI Data'!F8)</f>
        <v/>
      </c>
      <c r="I10" s="32">
        <f>('Raw OI Data'!E13-'Raw OI Data'!F13)-('Raw OI Data'!E9-'Raw OI Data'!F9)</f>
        <v/>
      </c>
      <c r="J10" s="32">
        <f>('Raw OI Data'!E14-'Raw OI Data'!F14)-('Raw OI Data'!E10-'Raw OI Data'!F10)</f>
        <v/>
      </c>
      <c r="K10" s="27" t="n"/>
      <c r="L10" s="32">
        <f>('Raw OI Data'!E15-'Raw OI Data'!F15)-('Raw OI Data'!E11-'Raw OI Data'!F11)</f>
        <v/>
      </c>
      <c r="M10" s="32">
        <f>('Raw OI Data'!E16-'Raw OI Data'!F16)-('Raw OI Data'!E12-'Raw OI Data'!F12)</f>
        <v/>
      </c>
      <c r="N10" s="32">
        <f>('Raw OI Data'!E17-'Raw OI Data'!F17)-('Raw OI Data'!E13-'Raw OI Data'!F13)</f>
        <v/>
      </c>
      <c r="O10" s="32">
        <f>('Raw OI Data'!E18-'Raw OI Data'!F18)-('Raw OI Data'!E14-'Raw OI Data'!F14)</f>
        <v/>
      </c>
      <c r="P10" s="27" t="n"/>
      <c r="Q10" s="32">
        <f>('Raw OI Data'!E19-'Raw OI Data'!F19)-('Raw OI Data'!E15-'Raw OI Data'!F15)</f>
        <v/>
      </c>
      <c r="R10" s="32">
        <f>('Raw OI Data'!E20-'Raw OI Data'!F20)-('Raw OI Data'!E16-'Raw OI Data'!F16)</f>
        <v/>
      </c>
      <c r="S10" s="32">
        <f>('Raw OI Data'!E21-'Raw OI Data'!F21)-('Raw OI Data'!E17-'Raw OI Data'!F17)</f>
        <v/>
      </c>
      <c r="T10" s="32">
        <f>('Raw OI Data'!E22-'Raw OI Data'!F22)-('Raw OI Data'!E18-'Raw OI Data'!F18)</f>
        <v/>
      </c>
      <c r="U10" s="27" t="n"/>
    </row>
    <row r="11" ht="14" customHeight="1">
      <c r="A11" s="25" t="inlineStr">
        <is>
          <t>Δ Idx Call Long OI</t>
        </is>
      </c>
      <c r="B11" s="28">
        <f>'Raw OI Data'!G7-'Raw OI Data'!G3</f>
        <v/>
      </c>
      <c r="C11" s="28">
        <f>'Raw OI Data'!G8-'Raw OI Data'!G4</f>
        <v/>
      </c>
      <c r="D11" s="28">
        <f>'Raw OI Data'!G9-'Raw OI Data'!G5</f>
        <v/>
      </c>
      <c r="E11" s="28">
        <f>'Raw OI Data'!G10-'Raw OI Data'!G6</f>
        <v/>
      </c>
      <c r="F11" s="26" t="n"/>
      <c r="G11" s="28">
        <f>'Raw OI Data'!G11-'Raw OI Data'!G7</f>
        <v/>
      </c>
      <c r="H11" s="28">
        <f>'Raw OI Data'!G12-'Raw OI Data'!G8</f>
        <v/>
      </c>
      <c r="I11" s="28">
        <f>'Raw OI Data'!G13-'Raw OI Data'!G9</f>
        <v/>
      </c>
      <c r="J11" s="28">
        <f>'Raw OI Data'!G14-'Raw OI Data'!G10</f>
        <v/>
      </c>
      <c r="K11" s="26" t="n"/>
      <c r="L11" s="28">
        <f>'Raw OI Data'!G15-'Raw OI Data'!G11</f>
        <v/>
      </c>
      <c r="M11" s="28">
        <f>'Raw OI Data'!G16-'Raw OI Data'!G12</f>
        <v/>
      </c>
      <c r="N11" s="28">
        <f>'Raw OI Data'!G17-'Raw OI Data'!G13</f>
        <v/>
      </c>
      <c r="O11" s="28">
        <f>'Raw OI Data'!G18-'Raw OI Data'!G14</f>
        <v/>
      </c>
      <c r="P11" s="26" t="n"/>
      <c r="Q11" s="28">
        <f>'Raw OI Data'!G19-'Raw OI Data'!G15</f>
        <v/>
      </c>
      <c r="R11" s="28">
        <f>'Raw OI Data'!G20-'Raw OI Data'!G16</f>
        <v/>
      </c>
      <c r="S11" s="28">
        <f>'Raw OI Data'!G21-'Raw OI Data'!G17</f>
        <v/>
      </c>
      <c r="T11" s="28">
        <f>'Raw OI Data'!G22-'Raw OI Data'!G18</f>
        <v/>
      </c>
      <c r="U11" s="26" t="n"/>
    </row>
    <row r="12" ht="14" customHeight="1">
      <c r="A12" s="25" t="inlineStr">
        <is>
          <t>Δ Idx Put Long OI</t>
        </is>
      </c>
      <c r="B12" s="32">
        <f>'Raw OI Data'!H7-'Raw OI Data'!H3</f>
        <v/>
      </c>
      <c r="C12" s="32">
        <f>'Raw OI Data'!H8-'Raw OI Data'!H4</f>
        <v/>
      </c>
      <c r="D12" s="32">
        <f>'Raw OI Data'!H9-'Raw OI Data'!H5</f>
        <v/>
      </c>
      <c r="E12" s="32">
        <f>'Raw OI Data'!H10-'Raw OI Data'!H6</f>
        <v/>
      </c>
      <c r="F12" s="27" t="n"/>
      <c r="G12" s="32">
        <f>'Raw OI Data'!H11-'Raw OI Data'!H7</f>
        <v/>
      </c>
      <c r="H12" s="32">
        <f>'Raw OI Data'!H12-'Raw OI Data'!H8</f>
        <v/>
      </c>
      <c r="I12" s="32">
        <f>'Raw OI Data'!H13-'Raw OI Data'!H9</f>
        <v/>
      </c>
      <c r="J12" s="32">
        <f>'Raw OI Data'!H14-'Raw OI Data'!H10</f>
        <v/>
      </c>
      <c r="K12" s="27" t="n"/>
      <c r="L12" s="32">
        <f>'Raw OI Data'!H15-'Raw OI Data'!H11</f>
        <v/>
      </c>
      <c r="M12" s="32">
        <f>'Raw OI Data'!H16-'Raw OI Data'!H12</f>
        <v/>
      </c>
      <c r="N12" s="32">
        <f>'Raw OI Data'!H17-'Raw OI Data'!H13</f>
        <v/>
      </c>
      <c r="O12" s="32">
        <f>'Raw OI Data'!H18-'Raw OI Data'!H14</f>
        <v/>
      </c>
      <c r="P12" s="27" t="n"/>
      <c r="Q12" s="32">
        <f>'Raw OI Data'!H19-'Raw OI Data'!H15</f>
        <v/>
      </c>
      <c r="R12" s="32">
        <f>'Raw OI Data'!H20-'Raw OI Data'!H16</f>
        <v/>
      </c>
      <c r="S12" s="32">
        <f>'Raw OI Data'!H21-'Raw OI Data'!H17</f>
        <v/>
      </c>
      <c r="T12" s="32">
        <f>'Raw OI Data'!H22-'Raw OI Data'!H18</f>
        <v/>
      </c>
      <c r="U12" s="27" t="n"/>
    </row>
    <row r="13" ht="14" customHeight="1">
      <c r="A13" s="25" t="inlineStr">
        <is>
          <t>Δ Index OI PCR</t>
        </is>
      </c>
      <c r="B13" s="18">
        <f>IFERROR('Raw OI Data'!H7/'Raw OI Data'!G7,0)-IFERROR('Raw OI Data'!H3/'Raw OI Data'!G3,0)</f>
        <v/>
      </c>
      <c r="C13" s="18">
        <f>IFERROR('Raw OI Data'!H8/'Raw OI Data'!G8,0)-IFERROR('Raw OI Data'!H4/'Raw OI Data'!G4,0)</f>
        <v/>
      </c>
      <c r="D13" s="18">
        <f>IFERROR('Raw OI Data'!H9/'Raw OI Data'!G9,0)-IFERROR('Raw OI Data'!H5/'Raw OI Data'!G5,0)</f>
        <v/>
      </c>
      <c r="E13" s="18">
        <f>IFERROR('Raw OI Data'!H10/'Raw OI Data'!G10,0)-IFERROR('Raw OI Data'!H6/'Raw OI Data'!G6,0)</f>
        <v/>
      </c>
      <c r="F13" s="26" t="n"/>
      <c r="G13" s="18">
        <f>IFERROR('Raw OI Data'!H11/'Raw OI Data'!G11,0)-IFERROR('Raw OI Data'!H7/'Raw OI Data'!G7,0)</f>
        <v/>
      </c>
      <c r="H13" s="18">
        <f>IFERROR('Raw OI Data'!H12/'Raw OI Data'!G12,0)-IFERROR('Raw OI Data'!H8/'Raw OI Data'!G8,0)</f>
        <v/>
      </c>
      <c r="I13" s="18">
        <f>IFERROR('Raw OI Data'!H13/'Raw OI Data'!G13,0)-IFERROR('Raw OI Data'!H9/'Raw OI Data'!G9,0)</f>
        <v/>
      </c>
      <c r="J13" s="18">
        <f>IFERROR('Raw OI Data'!H14/'Raw OI Data'!G14,0)-IFERROR('Raw OI Data'!H10/'Raw OI Data'!G10,0)</f>
        <v/>
      </c>
      <c r="K13" s="26" t="n"/>
      <c r="L13" s="18">
        <f>IFERROR('Raw OI Data'!H15/'Raw OI Data'!G15,0)-IFERROR('Raw OI Data'!H11/'Raw OI Data'!G11,0)</f>
        <v/>
      </c>
      <c r="M13" s="18">
        <f>IFERROR('Raw OI Data'!H16/'Raw OI Data'!G16,0)-IFERROR('Raw OI Data'!H12/'Raw OI Data'!G12,0)</f>
        <v/>
      </c>
      <c r="N13" s="18">
        <f>IFERROR('Raw OI Data'!H17/'Raw OI Data'!G17,0)-IFERROR('Raw OI Data'!H13/'Raw OI Data'!G13,0)</f>
        <v/>
      </c>
      <c r="O13" s="18">
        <f>IFERROR('Raw OI Data'!H18/'Raw OI Data'!G18,0)-IFERROR('Raw OI Data'!H14/'Raw OI Data'!G14,0)</f>
        <v/>
      </c>
      <c r="P13" s="26" t="n"/>
      <c r="Q13" s="18">
        <f>IFERROR('Raw OI Data'!H19/'Raw OI Data'!G19,0)-IFERROR('Raw OI Data'!H15/'Raw OI Data'!G15,0)</f>
        <v/>
      </c>
      <c r="R13" s="18">
        <f>IFERROR('Raw OI Data'!H20/'Raw OI Data'!G20,0)-IFERROR('Raw OI Data'!H16/'Raw OI Data'!G16,0)</f>
        <v/>
      </c>
      <c r="S13" s="18">
        <f>IFERROR('Raw OI Data'!H21/'Raw OI Data'!G21,0)-IFERROR('Raw OI Data'!H17/'Raw OI Data'!G17,0)</f>
        <v/>
      </c>
      <c r="T13" s="18">
        <f>IFERROR('Raw OI Data'!H22/'Raw OI Data'!G22,0)-IFERROR('Raw OI Data'!H18/'Raw OI Data'!G18,0)</f>
        <v/>
      </c>
      <c r="U13" s="26" t="n"/>
    </row>
    <row r="14" ht="14" customHeight="1">
      <c r="A14" s="25" t="inlineStr">
        <is>
          <t>Δ Total Long OI</t>
        </is>
      </c>
      <c r="B14" s="32">
        <f>'Raw OI Data'!O7-'Raw OI Data'!O3</f>
        <v/>
      </c>
      <c r="C14" s="32">
        <f>'Raw OI Data'!O8-'Raw OI Data'!O4</f>
        <v/>
      </c>
      <c r="D14" s="32">
        <f>'Raw OI Data'!O9-'Raw OI Data'!O5</f>
        <v/>
      </c>
      <c r="E14" s="32">
        <f>'Raw OI Data'!O10-'Raw OI Data'!O6</f>
        <v/>
      </c>
      <c r="F14" s="27" t="n"/>
      <c r="G14" s="32">
        <f>'Raw OI Data'!O11-'Raw OI Data'!O7</f>
        <v/>
      </c>
      <c r="H14" s="32">
        <f>'Raw OI Data'!O12-'Raw OI Data'!O8</f>
        <v/>
      </c>
      <c r="I14" s="32">
        <f>'Raw OI Data'!O13-'Raw OI Data'!O9</f>
        <v/>
      </c>
      <c r="J14" s="32">
        <f>'Raw OI Data'!O14-'Raw OI Data'!O10</f>
        <v/>
      </c>
      <c r="K14" s="27" t="n"/>
      <c r="L14" s="32">
        <f>'Raw OI Data'!O15-'Raw OI Data'!O11</f>
        <v/>
      </c>
      <c r="M14" s="32">
        <f>'Raw OI Data'!O16-'Raw OI Data'!O12</f>
        <v/>
      </c>
      <c r="N14" s="32">
        <f>'Raw OI Data'!O17-'Raw OI Data'!O13</f>
        <v/>
      </c>
      <c r="O14" s="32">
        <f>'Raw OI Data'!O18-'Raw OI Data'!O14</f>
        <v/>
      </c>
      <c r="P14" s="27" t="n"/>
      <c r="Q14" s="32">
        <f>'Raw OI Data'!O19-'Raw OI Data'!O15</f>
        <v/>
      </c>
      <c r="R14" s="32">
        <f>'Raw OI Data'!O20-'Raw OI Data'!O16</f>
        <v/>
      </c>
      <c r="S14" s="32">
        <f>'Raw OI Data'!O21-'Raw OI Data'!O17</f>
        <v/>
      </c>
      <c r="T14" s="32">
        <f>'Raw OI Data'!O22-'Raw OI Data'!O18</f>
        <v/>
      </c>
      <c r="U14" s="27" t="n"/>
    </row>
    <row r="15" ht="14" customHeight="1">
      <c r="A15" s="25" t="inlineStr">
        <is>
          <t>Δ Total Short OI</t>
        </is>
      </c>
      <c r="B15" s="28">
        <f>'Raw OI Data'!P7-'Raw OI Data'!P3</f>
        <v/>
      </c>
      <c r="C15" s="28">
        <f>'Raw OI Data'!P8-'Raw OI Data'!P4</f>
        <v/>
      </c>
      <c r="D15" s="28">
        <f>'Raw OI Data'!P9-'Raw OI Data'!P5</f>
        <v/>
      </c>
      <c r="E15" s="28">
        <f>'Raw OI Data'!P10-'Raw OI Data'!P6</f>
        <v/>
      </c>
      <c r="F15" s="26" t="n"/>
      <c r="G15" s="28">
        <f>'Raw OI Data'!P11-'Raw OI Data'!P7</f>
        <v/>
      </c>
      <c r="H15" s="28">
        <f>'Raw OI Data'!P12-'Raw OI Data'!P8</f>
        <v/>
      </c>
      <c r="I15" s="28">
        <f>'Raw OI Data'!P13-'Raw OI Data'!P9</f>
        <v/>
      </c>
      <c r="J15" s="28">
        <f>'Raw OI Data'!P14-'Raw OI Data'!P10</f>
        <v/>
      </c>
      <c r="K15" s="26" t="n"/>
      <c r="L15" s="28">
        <f>'Raw OI Data'!P15-'Raw OI Data'!P11</f>
        <v/>
      </c>
      <c r="M15" s="28">
        <f>'Raw OI Data'!P16-'Raw OI Data'!P12</f>
        <v/>
      </c>
      <c r="N15" s="28">
        <f>'Raw OI Data'!P17-'Raw OI Data'!P13</f>
        <v/>
      </c>
      <c r="O15" s="28">
        <f>'Raw OI Data'!P18-'Raw OI Data'!P14</f>
        <v/>
      </c>
      <c r="P15" s="26" t="n"/>
      <c r="Q15" s="28">
        <f>'Raw OI Data'!P19-'Raw OI Data'!P15</f>
        <v/>
      </c>
      <c r="R15" s="28">
        <f>'Raw OI Data'!P20-'Raw OI Data'!P16</f>
        <v/>
      </c>
      <c r="S15" s="28">
        <f>'Raw OI Data'!P21-'Raw OI Data'!P17</f>
        <v/>
      </c>
      <c r="T15" s="28">
        <f>'Raw OI Data'!P22-'Raw OI Data'!P18</f>
        <v/>
      </c>
      <c r="U15" s="26" t="n"/>
    </row>
    <row r="16" ht="14" customHeight="1">
      <c r="A16" s="25" t="inlineStr">
        <is>
          <t>Δ Net Total OI</t>
        </is>
      </c>
      <c r="B16" s="32">
        <f>('Raw OI Data'!O7-'Raw OI Data'!P7)-('Raw OI Data'!O3-'Raw OI Data'!P3)</f>
        <v/>
      </c>
      <c r="C16" s="32">
        <f>('Raw OI Data'!O8-'Raw OI Data'!P8)-('Raw OI Data'!O4-'Raw OI Data'!P4)</f>
        <v/>
      </c>
      <c r="D16" s="32">
        <f>('Raw OI Data'!O9-'Raw OI Data'!P9)-('Raw OI Data'!O5-'Raw OI Data'!P5)</f>
        <v/>
      </c>
      <c r="E16" s="32">
        <f>('Raw OI Data'!O10-'Raw OI Data'!P10)-('Raw OI Data'!O6-'Raw OI Data'!P6)</f>
        <v/>
      </c>
      <c r="F16" s="27" t="n"/>
      <c r="G16" s="32">
        <f>('Raw OI Data'!O11-'Raw OI Data'!P11)-('Raw OI Data'!O7-'Raw OI Data'!P7)</f>
        <v/>
      </c>
      <c r="H16" s="32">
        <f>('Raw OI Data'!O12-'Raw OI Data'!P12)-('Raw OI Data'!O8-'Raw OI Data'!P8)</f>
        <v/>
      </c>
      <c r="I16" s="32">
        <f>('Raw OI Data'!O13-'Raw OI Data'!P13)-('Raw OI Data'!O9-'Raw OI Data'!P9)</f>
        <v/>
      </c>
      <c r="J16" s="32">
        <f>('Raw OI Data'!O14-'Raw OI Data'!P14)-('Raw OI Data'!O10-'Raw OI Data'!P10)</f>
        <v/>
      </c>
      <c r="K16" s="27" t="n"/>
      <c r="L16" s="32">
        <f>('Raw OI Data'!O15-'Raw OI Data'!P15)-('Raw OI Data'!O11-'Raw OI Data'!P11)</f>
        <v/>
      </c>
      <c r="M16" s="32">
        <f>('Raw OI Data'!O16-'Raw OI Data'!P16)-('Raw OI Data'!O12-'Raw OI Data'!P12)</f>
        <v/>
      </c>
      <c r="N16" s="32">
        <f>('Raw OI Data'!O17-'Raw OI Data'!P17)-('Raw OI Data'!O13-'Raw OI Data'!P13)</f>
        <v/>
      </c>
      <c r="O16" s="32">
        <f>('Raw OI Data'!O18-'Raw OI Data'!P18)-('Raw OI Data'!O14-'Raw OI Data'!P14)</f>
        <v/>
      </c>
      <c r="P16" s="27" t="n"/>
      <c r="Q16" s="32">
        <f>('Raw OI Data'!O19-'Raw OI Data'!P19)-('Raw OI Data'!O15-'Raw OI Data'!P15)</f>
        <v/>
      </c>
      <c r="R16" s="32">
        <f>('Raw OI Data'!O20-'Raw OI Data'!P20)-('Raw OI Data'!O16-'Raw OI Data'!P16)</f>
        <v/>
      </c>
      <c r="S16" s="32">
        <f>('Raw OI Data'!O21-'Raw OI Data'!P21)-('Raw OI Data'!O17-'Raw OI Data'!P17)</f>
        <v/>
      </c>
      <c r="T16" s="32">
        <f>('Raw OI Data'!O22-'Raw OI Data'!P22)-('Raw OI Data'!O18-'Raw OI Data'!P18)</f>
        <v/>
      </c>
      <c r="U16" s="27" t="n"/>
    </row>
    <row r="17" ht="16" customHeight="1">
      <c r="A17" s="14" t="inlineStr">
        <is>
          <t>VOLUME CHANGES</t>
        </is>
      </c>
    </row>
    <row r="18" ht="14" customHeight="1">
      <c r="A18" s="25" t="inlineStr">
        <is>
          <t>Δ Fut Idx Buy Vol</t>
        </is>
      </c>
      <c r="B18" s="28">
        <f>'Raw TV Data'!C7-'Raw TV Data'!C3</f>
        <v/>
      </c>
      <c r="C18" s="28">
        <f>'Raw TV Data'!C8-'Raw TV Data'!C4</f>
        <v/>
      </c>
      <c r="D18" s="28">
        <f>'Raw TV Data'!C9-'Raw TV Data'!C5</f>
        <v/>
      </c>
      <c r="E18" s="28">
        <f>'Raw TV Data'!C10-'Raw TV Data'!C6</f>
        <v/>
      </c>
      <c r="F18" s="26" t="n"/>
      <c r="G18" s="28">
        <f>'Raw TV Data'!C11-'Raw TV Data'!C7</f>
        <v/>
      </c>
      <c r="H18" s="28">
        <f>'Raw TV Data'!C12-'Raw TV Data'!C8</f>
        <v/>
      </c>
      <c r="I18" s="28">
        <f>'Raw TV Data'!C13-'Raw TV Data'!C9</f>
        <v/>
      </c>
      <c r="J18" s="28">
        <f>'Raw TV Data'!C14-'Raw TV Data'!C10</f>
        <v/>
      </c>
      <c r="K18" s="26" t="n"/>
      <c r="L18" s="28">
        <f>'Raw TV Data'!C15-'Raw TV Data'!C11</f>
        <v/>
      </c>
      <c r="M18" s="28">
        <f>'Raw TV Data'!C16-'Raw TV Data'!C12</f>
        <v/>
      </c>
      <c r="N18" s="28">
        <f>'Raw TV Data'!C17-'Raw TV Data'!C13</f>
        <v/>
      </c>
      <c r="O18" s="28">
        <f>'Raw TV Data'!C18-'Raw TV Data'!C14</f>
        <v/>
      </c>
      <c r="P18" s="26" t="n"/>
      <c r="Q18" s="28">
        <f>'Raw TV Data'!C19-'Raw TV Data'!C15</f>
        <v/>
      </c>
      <c r="R18" s="28">
        <f>'Raw TV Data'!C20-'Raw TV Data'!C16</f>
        <v/>
      </c>
      <c r="S18" s="28">
        <f>'Raw TV Data'!C21-'Raw TV Data'!C17</f>
        <v/>
      </c>
      <c r="T18" s="28">
        <f>'Raw TV Data'!C22-'Raw TV Data'!C18</f>
        <v/>
      </c>
      <c r="U18" s="26" t="n"/>
    </row>
    <row r="19" ht="14" customHeight="1">
      <c r="A19" s="25" t="inlineStr">
        <is>
          <t>Δ Idx Call Buy Vol</t>
        </is>
      </c>
      <c r="B19" s="32">
        <f>'Raw TV Data'!G7-'Raw TV Data'!G3</f>
        <v/>
      </c>
      <c r="C19" s="32">
        <f>'Raw TV Data'!G8-'Raw TV Data'!G4</f>
        <v/>
      </c>
      <c r="D19" s="32">
        <f>'Raw TV Data'!G9-'Raw TV Data'!G5</f>
        <v/>
      </c>
      <c r="E19" s="32">
        <f>'Raw TV Data'!G10-'Raw TV Data'!G6</f>
        <v/>
      </c>
      <c r="F19" s="27" t="n"/>
      <c r="G19" s="32">
        <f>'Raw TV Data'!G11-'Raw TV Data'!G7</f>
        <v/>
      </c>
      <c r="H19" s="32">
        <f>'Raw TV Data'!G12-'Raw TV Data'!G8</f>
        <v/>
      </c>
      <c r="I19" s="32">
        <f>'Raw TV Data'!G13-'Raw TV Data'!G9</f>
        <v/>
      </c>
      <c r="J19" s="32">
        <f>'Raw TV Data'!G14-'Raw TV Data'!G10</f>
        <v/>
      </c>
      <c r="K19" s="27" t="n"/>
      <c r="L19" s="32">
        <f>'Raw TV Data'!G15-'Raw TV Data'!G11</f>
        <v/>
      </c>
      <c r="M19" s="32">
        <f>'Raw TV Data'!G16-'Raw TV Data'!G12</f>
        <v/>
      </c>
      <c r="N19" s="32">
        <f>'Raw TV Data'!G17-'Raw TV Data'!G13</f>
        <v/>
      </c>
      <c r="O19" s="32">
        <f>'Raw TV Data'!G18-'Raw TV Data'!G14</f>
        <v/>
      </c>
      <c r="P19" s="27" t="n"/>
      <c r="Q19" s="32">
        <f>'Raw TV Data'!G19-'Raw TV Data'!G15</f>
        <v/>
      </c>
      <c r="R19" s="32">
        <f>'Raw TV Data'!G20-'Raw TV Data'!G16</f>
        <v/>
      </c>
      <c r="S19" s="32">
        <f>'Raw TV Data'!G21-'Raw TV Data'!G17</f>
        <v/>
      </c>
      <c r="T19" s="32">
        <f>'Raw TV Data'!G22-'Raw TV Data'!G18</f>
        <v/>
      </c>
      <c r="U19" s="27" t="n"/>
    </row>
    <row r="20" ht="14" customHeight="1">
      <c r="A20" s="25" t="inlineStr">
        <is>
          <t>Δ Idx Put Buy Vol</t>
        </is>
      </c>
      <c r="B20" s="28">
        <f>'Raw TV Data'!H7-'Raw TV Data'!H3</f>
        <v/>
      </c>
      <c r="C20" s="28">
        <f>'Raw TV Data'!H8-'Raw TV Data'!H4</f>
        <v/>
      </c>
      <c r="D20" s="28">
        <f>'Raw TV Data'!H9-'Raw TV Data'!H5</f>
        <v/>
      </c>
      <c r="E20" s="28">
        <f>'Raw TV Data'!H10-'Raw TV Data'!H6</f>
        <v/>
      </c>
      <c r="F20" s="26" t="n"/>
      <c r="G20" s="28">
        <f>'Raw TV Data'!H11-'Raw TV Data'!H7</f>
        <v/>
      </c>
      <c r="H20" s="28">
        <f>'Raw TV Data'!H12-'Raw TV Data'!H8</f>
        <v/>
      </c>
      <c r="I20" s="28">
        <f>'Raw TV Data'!H13-'Raw TV Data'!H9</f>
        <v/>
      </c>
      <c r="J20" s="28">
        <f>'Raw TV Data'!H14-'Raw TV Data'!H10</f>
        <v/>
      </c>
      <c r="K20" s="26" t="n"/>
      <c r="L20" s="28">
        <f>'Raw TV Data'!H15-'Raw TV Data'!H11</f>
        <v/>
      </c>
      <c r="M20" s="28">
        <f>'Raw TV Data'!H16-'Raw TV Data'!H12</f>
        <v/>
      </c>
      <c r="N20" s="28">
        <f>'Raw TV Data'!H17-'Raw TV Data'!H13</f>
        <v/>
      </c>
      <c r="O20" s="28">
        <f>'Raw TV Data'!H18-'Raw TV Data'!H14</f>
        <v/>
      </c>
      <c r="P20" s="26" t="n"/>
      <c r="Q20" s="28">
        <f>'Raw TV Data'!H19-'Raw TV Data'!H15</f>
        <v/>
      </c>
      <c r="R20" s="28">
        <f>'Raw TV Data'!H20-'Raw TV Data'!H16</f>
        <v/>
      </c>
      <c r="S20" s="28">
        <f>'Raw TV Data'!H21-'Raw TV Data'!H17</f>
        <v/>
      </c>
      <c r="T20" s="28">
        <f>'Raw TV Data'!H22-'Raw TV Data'!H18</f>
        <v/>
      </c>
      <c r="U20" s="26" t="n"/>
    </row>
    <row r="21" ht="14" customHeight="1">
      <c r="A21" s="25" t="inlineStr">
        <is>
          <t>Δ Vol PCR (Index)</t>
        </is>
      </c>
      <c r="B21" s="16">
        <f>IFERROR('Raw TV Data'!H7/'Raw TV Data'!G7,0)-IFERROR('Raw TV Data'!H3/'Raw TV Data'!G3,0)</f>
        <v/>
      </c>
      <c r="C21" s="16">
        <f>IFERROR('Raw TV Data'!H8/'Raw TV Data'!G8,0)-IFERROR('Raw TV Data'!H4/'Raw TV Data'!G4,0)</f>
        <v/>
      </c>
      <c r="D21" s="16">
        <f>IFERROR('Raw TV Data'!H9/'Raw TV Data'!G9,0)-IFERROR('Raw TV Data'!H5/'Raw TV Data'!G5,0)</f>
        <v/>
      </c>
      <c r="E21" s="16">
        <f>IFERROR('Raw TV Data'!H10/'Raw TV Data'!G10,0)-IFERROR('Raw TV Data'!H6/'Raw TV Data'!G6,0)</f>
        <v/>
      </c>
      <c r="F21" s="27" t="n"/>
      <c r="G21" s="16">
        <f>IFERROR('Raw TV Data'!H11/'Raw TV Data'!G11,0)-IFERROR('Raw TV Data'!H7/'Raw TV Data'!G7,0)</f>
        <v/>
      </c>
      <c r="H21" s="16">
        <f>IFERROR('Raw TV Data'!H12/'Raw TV Data'!G12,0)-IFERROR('Raw TV Data'!H8/'Raw TV Data'!G8,0)</f>
        <v/>
      </c>
      <c r="I21" s="16">
        <f>IFERROR('Raw TV Data'!H13/'Raw TV Data'!G13,0)-IFERROR('Raw TV Data'!H9/'Raw TV Data'!G9,0)</f>
        <v/>
      </c>
      <c r="J21" s="16">
        <f>IFERROR('Raw TV Data'!H14/'Raw TV Data'!G14,0)-IFERROR('Raw TV Data'!H10/'Raw TV Data'!G10,0)</f>
        <v/>
      </c>
      <c r="K21" s="27" t="n"/>
      <c r="L21" s="16">
        <f>IFERROR('Raw TV Data'!H15/'Raw TV Data'!G15,0)-IFERROR('Raw TV Data'!H11/'Raw TV Data'!G11,0)</f>
        <v/>
      </c>
      <c r="M21" s="16">
        <f>IFERROR('Raw TV Data'!H16/'Raw TV Data'!G16,0)-IFERROR('Raw TV Data'!H12/'Raw TV Data'!G12,0)</f>
        <v/>
      </c>
      <c r="N21" s="16">
        <f>IFERROR('Raw TV Data'!H17/'Raw TV Data'!G17,0)-IFERROR('Raw TV Data'!H13/'Raw TV Data'!G13,0)</f>
        <v/>
      </c>
      <c r="O21" s="16">
        <f>IFERROR('Raw TV Data'!H18/'Raw TV Data'!G18,0)-IFERROR('Raw TV Data'!H14/'Raw TV Data'!G14,0)</f>
        <v/>
      </c>
      <c r="P21" s="27" t="n"/>
      <c r="Q21" s="16">
        <f>IFERROR('Raw TV Data'!H19/'Raw TV Data'!G19,0)-IFERROR('Raw TV Data'!H15/'Raw TV Data'!G15,0)</f>
        <v/>
      </c>
      <c r="R21" s="16">
        <f>IFERROR('Raw TV Data'!H20/'Raw TV Data'!G20,0)-IFERROR('Raw TV Data'!H16/'Raw TV Data'!G16,0)</f>
        <v/>
      </c>
      <c r="S21" s="16">
        <f>IFERROR('Raw TV Data'!H21/'Raw TV Data'!G21,0)-IFERROR('Raw TV Data'!H17/'Raw TV Data'!G17,0)</f>
        <v/>
      </c>
      <c r="T21" s="16">
        <f>IFERROR('Raw TV Data'!H22/'Raw TV Data'!G22,0)-IFERROR('Raw TV Data'!H18/'Raw TV Data'!G18,0)</f>
        <v/>
      </c>
      <c r="U21" s="27" t="n"/>
    </row>
    <row r="22" ht="14" customHeight="1">
      <c r="A22" s="25" t="inlineStr">
        <is>
          <t>Δ Total Buy Vol</t>
        </is>
      </c>
      <c r="B22" s="28">
        <f>'Raw TV Data'!O7-'Raw TV Data'!O3</f>
        <v/>
      </c>
      <c r="C22" s="28">
        <f>'Raw TV Data'!O8-'Raw TV Data'!O4</f>
        <v/>
      </c>
      <c r="D22" s="28">
        <f>'Raw TV Data'!O9-'Raw TV Data'!O5</f>
        <v/>
      </c>
      <c r="E22" s="28">
        <f>'Raw TV Data'!O10-'Raw TV Data'!O6</f>
        <v/>
      </c>
      <c r="F22" s="26" t="n"/>
      <c r="G22" s="28">
        <f>'Raw TV Data'!O11-'Raw TV Data'!O7</f>
        <v/>
      </c>
      <c r="H22" s="28">
        <f>'Raw TV Data'!O12-'Raw TV Data'!O8</f>
        <v/>
      </c>
      <c r="I22" s="28">
        <f>'Raw TV Data'!O13-'Raw TV Data'!O9</f>
        <v/>
      </c>
      <c r="J22" s="28">
        <f>'Raw TV Data'!O14-'Raw TV Data'!O10</f>
        <v/>
      </c>
      <c r="K22" s="26" t="n"/>
      <c r="L22" s="28">
        <f>'Raw TV Data'!O15-'Raw TV Data'!O11</f>
        <v/>
      </c>
      <c r="M22" s="28">
        <f>'Raw TV Data'!O16-'Raw TV Data'!O12</f>
        <v/>
      </c>
      <c r="N22" s="28">
        <f>'Raw TV Data'!O17-'Raw TV Data'!O13</f>
        <v/>
      </c>
      <c r="O22" s="28">
        <f>'Raw TV Data'!O18-'Raw TV Data'!O14</f>
        <v/>
      </c>
      <c r="P22" s="26" t="n"/>
      <c r="Q22" s="28">
        <f>'Raw TV Data'!O19-'Raw TV Data'!O15</f>
        <v/>
      </c>
      <c r="R22" s="28">
        <f>'Raw TV Data'!O20-'Raw TV Data'!O16</f>
        <v/>
      </c>
      <c r="S22" s="28">
        <f>'Raw TV Data'!O21-'Raw TV Data'!O17</f>
        <v/>
      </c>
      <c r="T22" s="28">
        <f>'Raw TV Data'!O22-'Raw TV Data'!O18</f>
        <v/>
      </c>
      <c r="U22" s="26" t="n"/>
    </row>
  </sheetData>
  <mergeCells count="7">
    <mergeCell ref="A4:U4"/>
    <mergeCell ref="L2:O2"/>
    <mergeCell ref="G2:J2"/>
    <mergeCell ref="B2:E2"/>
    <mergeCell ref="Q2:T2"/>
    <mergeCell ref="A1:U1"/>
    <mergeCell ref="A17:U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7" customWidth="1" min="12" max="12"/>
    <col width="2" customWidth="1" min="13" max="13"/>
  </cols>
  <sheetData>
    <row r="1" ht="22" customHeight="1">
      <c r="A1" s="1" t="inlineStr">
        <is>
          <t>NSE FAO — Option Chain View (Strike-wise, All Dates)</t>
        </is>
      </c>
    </row>
    <row r="2" ht="16" customHeight="1">
      <c r="A2" s="19" t="inlineStr">
        <is>
          <t>Strike</t>
        </is>
      </c>
      <c r="B2" s="19" t="inlineStr">
        <is>
          <t>Jul 10 2026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</row>
    <row r="3" ht="14" customHeight="1">
      <c r="A3" s="37" t="inlineStr"/>
      <c r="B3" s="8" t="inlineStr">
        <is>
          <t>← CALLS</t>
        </is>
      </c>
      <c r="C3" s="9" t="n"/>
      <c r="D3" s="9" t="n"/>
      <c r="E3" s="9" t="n"/>
      <c r="F3" s="9" t="n"/>
      <c r="G3" s="10" t="inlineStr">
        <is>
          <t>PUTS →</t>
        </is>
      </c>
      <c r="H3" s="11" t="n"/>
      <c r="I3" s="11" t="n"/>
      <c r="J3" s="11" t="n"/>
      <c r="K3" s="11" t="n"/>
      <c r="L3" s="38" t="inlineStr">
        <is>
          <t>PCR</t>
        </is>
      </c>
    </row>
    <row r="4" ht="28" customHeight="1">
      <c r="A4" s="39" t="inlineStr">
        <is>
          <t>Strike</t>
        </is>
      </c>
      <c r="B4" s="12" t="inlineStr">
        <is>
          <t>Call OI</t>
        </is>
      </c>
      <c r="C4" s="12" t="inlineStr">
        <is>
          <t>Call ΔOI</t>
        </is>
      </c>
      <c r="D4" s="12" t="inlineStr">
        <is>
          <t>Call Vol</t>
        </is>
      </c>
      <c r="E4" s="12" t="inlineStr">
        <is>
          <t>Call IV</t>
        </is>
      </c>
      <c r="F4" s="12" t="inlineStr">
        <is>
          <t>Call LTP</t>
        </is>
      </c>
      <c r="G4" s="13" t="inlineStr">
        <is>
          <t>Put OI</t>
        </is>
      </c>
      <c r="H4" s="13" t="inlineStr">
        <is>
          <t>Put ΔOI</t>
        </is>
      </c>
      <c r="I4" s="13" t="inlineStr">
        <is>
          <t>Put Vol</t>
        </is>
      </c>
      <c r="J4" s="13" t="inlineStr">
        <is>
          <t>Put IV</t>
        </is>
      </c>
      <c r="K4" s="13" t="inlineStr">
        <is>
          <t>Put LTP</t>
        </is>
      </c>
      <c r="L4" s="38" t="inlineStr">
        <is>
          <t>P/C OI</t>
        </is>
      </c>
    </row>
    <row r="5" ht="13" customHeight="1">
      <c r="A5" s="6" t="n">
        <v>21400</v>
      </c>
      <c r="B5" s="40" t="n">
        <v>4</v>
      </c>
      <c r="C5" s="40" t="n">
        <v>0</v>
      </c>
      <c r="D5" s="40" t="n">
        <v>3</v>
      </c>
      <c r="E5" s="41" t="n"/>
      <c r="F5" s="41" t="n">
        <v>2820</v>
      </c>
      <c r="G5" s="42" t="n">
        <v>44925</v>
      </c>
      <c r="H5" s="42" t="n">
        <v>5835</v>
      </c>
      <c r="I5" s="42" t="n">
        <v>46894</v>
      </c>
      <c r="J5" s="43" t="n">
        <v>42.32</v>
      </c>
      <c r="K5" s="43" t="n">
        <v>0.75</v>
      </c>
      <c r="L5" s="44" t="n">
        <v>11231.25</v>
      </c>
    </row>
    <row r="6" ht="13" customHeight="1">
      <c r="A6" s="4" t="n">
        <v>21450</v>
      </c>
      <c r="B6" s="40" t="n">
        <v>32</v>
      </c>
      <c r="C6" s="40" t="n">
        <v>-1</v>
      </c>
      <c r="D6" s="40" t="n">
        <v>16</v>
      </c>
      <c r="E6" s="41" t="n"/>
      <c r="F6" s="41" t="n">
        <v>2759.2</v>
      </c>
      <c r="G6" s="42" t="n">
        <v>1722</v>
      </c>
      <c r="H6" s="42" t="n">
        <v>724</v>
      </c>
      <c r="I6" s="42" t="n">
        <v>6870</v>
      </c>
      <c r="J6" s="43" t="n">
        <v>42.34</v>
      </c>
      <c r="K6" s="43" t="n">
        <v>0.9</v>
      </c>
      <c r="L6" s="44" t="n">
        <v>53.81</v>
      </c>
    </row>
    <row r="7" ht="13" customHeight="1">
      <c r="A7" s="6" t="n">
        <v>21500</v>
      </c>
      <c r="B7" s="40" t="n">
        <v>36</v>
      </c>
      <c r="C7" s="40" t="n">
        <v>-1</v>
      </c>
      <c r="D7" s="40" t="n">
        <v>2</v>
      </c>
      <c r="E7" s="41" t="n"/>
      <c r="F7" s="41" t="n">
        <v>2673.4</v>
      </c>
      <c r="G7" s="42" t="n">
        <v>31422</v>
      </c>
      <c r="H7" s="42" t="n">
        <v>1102</v>
      </c>
      <c r="I7" s="42" t="n">
        <v>85224</v>
      </c>
      <c r="J7" s="43" t="n">
        <v>41.38</v>
      </c>
      <c r="K7" s="43" t="n">
        <v>0.85</v>
      </c>
      <c r="L7" s="44" t="n">
        <v>872.83</v>
      </c>
    </row>
    <row r="8" ht="13" customHeight="1">
      <c r="A8" s="4" t="n">
        <v>21550</v>
      </c>
      <c r="B8" s="40" t="n">
        <v>31</v>
      </c>
      <c r="C8" s="40" t="n">
        <v>-7</v>
      </c>
      <c r="D8" s="40" t="n">
        <v>19</v>
      </c>
      <c r="E8" s="41" t="n"/>
      <c r="F8" s="41" t="n">
        <v>2660.9</v>
      </c>
      <c r="G8" s="42" t="n">
        <v>1482</v>
      </c>
      <c r="H8" s="42" t="n">
        <v>603</v>
      </c>
      <c r="I8" s="42" t="n">
        <v>4879</v>
      </c>
      <c r="J8" s="43" t="n">
        <v>40.65</v>
      </c>
      <c r="K8" s="43" t="n">
        <v>0.85</v>
      </c>
      <c r="L8" s="44" t="n">
        <v>47.81</v>
      </c>
    </row>
    <row r="9" ht="13" customHeight="1">
      <c r="A9" s="6" t="n">
        <v>21600</v>
      </c>
      <c r="B9" s="40" t="n">
        <v>15</v>
      </c>
      <c r="C9" s="40" t="n">
        <v>-11</v>
      </c>
      <c r="D9" s="40" t="n">
        <v>11</v>
      </c>
      <c r="E9" s="41" t="n"/>
      <c r="F9" s="41" t="n">
        <v>2610.35</v>
      </c>
      <c r="G9" s="42" t="n">
        <v>5526</v>
      </c>
      <c r="H9" s="42" t="n">
        <v>1391</v>
      </c>
      <c r="I9" s="42" t="n">
        <v>29596</v>
      </c>
      <c r="J9" s="43" t="n">
        <v>40.36</v>
      </c>
      <c r="K9" s="43" t="n">
        <v>0.95</v>
      </c>
      <c r="L9" s="44" t="n">
        <v>368.4</v>
      </c>
    </row>
    <row r="10" ht="13" customHeight="1">
      <c r="A10" s="4" t="n">
        <v>21650</v>
      </c>
      <c r="B10" s="40" t="n">
        <v>46</v>
      </c>
      <c r="C10" s="40" t="n">
        <v>-1</v>
      </c>
      <c r="D10" s="40" t="n">
        <v>19</v>
      </c>
      <c r="E10" s="41" t="n"/>
      <c r="F10" s="41" t="n">
        <v>2565.25</v>
      </c>
      <c r="G10" s="42" t="n">
        <v>1296</v>
      </c>
      <c r="H10" s="42" t="n">
        <v>605</v>
      </c>
      <c r="I10" s="42" t="n">
        <v>4521</v>
      </c>
      <c r="J10" s="43" t="n">
        <v>39.63</v>
      </c>
      <c r="K10" s="43" t="n">
        <v>0.95</v>
      </c>
      <c r="L10" s="44" t="n">
        <v>28.17</v>
      </c>
    </row>
    <row r="11" ht="13" customHeight="1">
      <c r="A11" s="6" t="n">
        <v>21700</v>
      </c>
      <c r="B11" s="40" t="n">
        <v>61</v>
      </c>
      <c r="C11" s="40" t="n">
        <v>-6</v>
      </c>
      <c r="D11" s="40" t="n">
        <v>16</v>
      </c>
      <c r="E11" s="41" t="n"/>
      <c r="F11" s="41" t="n">
        <v>2509.05</v>
      </c>
      <c r="G11" s="42" t="n">
        <v>5187</v>
      </c>
      <c r="H11" s="42" t="n">
        <v>2837</v>
      </c>
      <c r="I11" s="42" t="n">
        <v>42257</v>
      </c>
      <c r="J11" s="43" t="n">
        <v>39.1</v>
      </c>
      <c r="K11" s="43" t="n">
        <v>1</v>
      </c>
      <c r="L11" s="44" t="n">
        <v>85.03</v>
      </c>
    </row>
    <row r="12" ht="13" customHeight="1">
      <c r="A12" s="4" t="n">
        <v>21750</v>
      </c>
      <c r="B12" s="40" t="n">
        <v>30</v>
      </c>
      <c r="C12" s="40" t="n">
        <v>-12</v>
      </c>
      <c r="D12" s="40" t="n">
        <v>14</v>
      </c>
      <c r="E12" s="41" t="n"/>
      <c r="F12" s="41" t="n">
        <v>2410</v>
      </c>
      <c r="G12" s="42" t="n">
        <v>992</v>
      </c>
      <c r="H12" s="42" t="n">
        <v>391</v>
      </c>
      <c r="I12" s="42" t="n">
        <v>2857</v>
      </c>
      <c r="J12" s="43" t="n">
        <v>38.55</v>
      </c>
      <c r="K12" s="43" t="n">
        <v>1.05</v>
      </c>
      <c r="L12" s="44" t="n">
        <v>33.07</v>
      </c>
    </row>
    <row r="13" ht="13" customHeight="1">
      <c r="A13" s="6" t="n">
        <v>21800</v>
      </c>
      <c r="B13" s="40" t="n">
        <v>6</v>
      </c>
      <c r="C13" s="40" t="n">
        <v>0</v>
      </c>
      <c r="D13" s="40" t="n">
        <v>0</v>
      </c>
      <c r="E13" s="41" t="n"/>
      <c r="F13" s="41" t="n">
        <v>2139.8</v>
      </c>
      <c r="G13" s="42" t="n">
        <v>13563</v>
      </c>
      <c r="H13" s="42" t="n">
        <v>2662</v>
      </c>
      <c r="I13" s="42" t="n">
        <v>63202</v>
      </c>
      <c r="J13" s="43" t="n">
        <v>37.81</v>
      </c>
      <c r="K13" s="43" t="n">
        <v>1.05</v>
      </c>
      <c r="L13" s="44" t="n">
        <v>2260.5</v>
      </c>
    </row>
    <row r="14" ht="13" customHeight="1">
      <c r="A14" s="4" t="n">
        <v>21850</v>
      </c>
      <c r="B14" s="40" t="n">
        <v>7</v>
      </c>
      <c r="C14" s="40" t="n">
        <v>-6</v>
      </c>
      <c r="D14" s="40" t="n">
        <v>6</v>
      </c>
      <c r="E14" s="41" t="n"/>
      <c r="F14" s="41" t="n">
        <v>2354.25</v>
      </c>
      <c r="G14" s="42" t="n">
        <v>1653</v>
      </c>
      <c r="H14" s="42" t="n">
        <v>803</v>
      </c>
      <c r="I14" s="42" t="n">
        <v>8576</v>
      </c>
      <c r="J14" s="43" t="n">
        <v>37.07</v>
      </c>
      <c r="K14" s="43" t="n">
        <v>1.05</v>
      </c>
      <c r="L14" s="44" t="n">
        <v>236.14</v>
      </c>
    </row>
    <row r="15" ht="13" customHeight="1">
      <c r="A15" s="6" t="n">
        <v>21900</v>
      </c>
      <c r="B15" s="40" t="n">
        <v>16</v>
      </c>
      <c r="C15" s="40" t="n">
        <v>0</v>
      </c>
      <c r="D15" s="40" t="n">
        <v>0</v>
      </c>
      <c r="E15" s="41" t="n">
        <v>52.41</v>
      </c>
      <c r="F15" s="41" t="n">
        <v>2112.05</v>
      </c>
      <c r="G15" s="42" t="n">
        <v>5124</v>
      </c>
      <c r="H15" s="42" t="n">
        <v>2149</v>
      </c>
      <c r="I15" s="42" t="n">
        <v>23336</v>
      </c>
      <c r="J15" s="43" t="n">
        <v>36.68</v>
      </c>
      <c r="K15" s="43" t="n">
        <v>1.15</v>
      </c>
      <c r="L15" s="44" t="n">
        <v>320.25</v>
      </c>
    </row>
    <row r="16" ht="13" customHeight="1">
      <c r="A16" s="4" t="n">
        <v>21950</v>
      </c>
      <c r="B16" s="40" t="n">
        <v>50</v>
      </c>
      <c r="C16" s="40" t="n">
        <v>0</v>
      </c>
      <c r="D16" s="40" t="n">
        <v>5</v>
      </c>
      <c r="E16" s="41" t="n"/>
      <c r="F16" s="41" t="n">
        <v>2231.85</v>
      </c>
      <c r="G16" s="42" t="n">
        <v>1751</v>
      </c>
      <c r="H16" s="42" t="n">
        <v>569</v>
      </c>
      <c r="I16" s="42" t="n">
        <v>14101</v>
      </c>
      <c r="J16" s="43" t="n">
        <v>36.1</v>
      </c>
      <c r="K16" s="43" t="n">
        <v>1.2</v>
      </c>
      <c r="L16" s="44" t="n">
        <v>35.02</v>
      </c>
    </row>
    <row r="17" ht="13" customHeight="1">
      <c r="A17" s="6" t="n">
        <v>22000</v>
      </c>
      <c r="B17" s="40" t="n">
        <v>50</v>
      </c>
      <c r="C17" s="40" t="n">
        <v>-1</v>
      </c>
      <c r="D17" s="40" t="n">
        <v>3</v>
      </c>
      <c r="E17" s="41" t="n"/>
      <c r="F17" s="41" t="n">
        <v>2219.3</v>
      </c>
      <c r="G17" s="42" t="n">
        <v>65388</v>
      </c>
      <c r="H17" s="42" t="n">
        <v>7740</v>
      </c>
      <c r="I17" s="42" t="n">
        <v>189567</v>
      </c>
      <c r="J17" s="43" t="n">
        <v>35.66</v>
      </c>
      <c r="K17" s="43" t="n">
        <v>1.3</v>
      </c>
      <c r="L17" s="44" t="n">
        <v>1307.76</v>
      </c>
    </row>
    <row r="18" ht="13" customHeight="1">
      <c r="A18" s="4" t="n">
        <v>22050</v>
      </c>
      <c r="B18" s="40" t="n">
        <v>25</v>
      </c>
      <c r="C18" s="40" t="n">
        <v>-17</v>
      </c>
      <c r="D18" s="40" t="n">
        <v>17</v>
      </c>
      <c r="E18" s="41" t="n"/>
      <c r="F18" s="41" t="n">
        <v>2159</v>
      </c>
      <c r="G18" s="42" t="n">
        <v>3066</v>
      </c>
      <c r="H18" s="42" t="n">
        <v>472</v>
      </c>
      <c r="I18" s="42" t="n">
        <v>21583</v>
      </c>
      <c r="J18" s="43" t="n">
        <v>35.05</v>
      </c>
      <c r="K18" s="43" t="n">
        <v>1.35</v>
      </c>
      <c r="L18" s="44" t="n">
        <v>122.64</v>
      </c>
    </row>
    <row r="19" ht="13" customHeight="1">
      <c r="A19" s="6" t="n">
        <v>22100</v>
      </c>
      <c r="B19" s="40" t="n">
        <v>52</v>
      </c>
      <c r="C19" s="40" t="n">
        <v>0</v>
      </c>
      <c r="D19" s="40" t="n">
        <v>4</v>
      </c>
      <c r="E19" s="41" t="n"/>
      <c r="F19" s="41" t="n">
        <v>2090.9</v>
      </c>
      <c r="G19" s="42" t="n">
        <v>7998</v>
      </c>
      <c r="H19" s="42" t="n">
        <v>3754</v>
      </c>
      <c r="I19" s="42" t="n">
        <v>43806</v>
      </c>
      <c r="J19" s="43" t="n">
        <v>33.71</v>
      </c>
      <c r="K19" s="43" t="n">
        <v>1.15</v>
      </c>
      <c r="L19" s="44" t="n">
        <v>153.81</v>
      </c>
    </row>
    <row r="20" ht="13" customHeight="1">
      <c r="A20" s="4" t="n">
        <v>22150</v>
      </c>
      <c r="B20" s="40" t="n">
        <v>25</v>
      </c>
      <c r="C20" s="40" t="n">
        <v>-7</v>
      </c>
      <c r="D20" s="40" t="n">
        <v>21</v>
      </c>
      <c r="E20" s="41" t="n"/>
      <c r="F20" s="41" t="n">
        <v>2058.95</v>
      </c>
      <c r="G20" s="42" t="n">
        <v>2092</v>
      </c>
      <c r="H20" s="42" t="n">
        <v>442</v>
      </c>
      <c r="I20" s="42" t="n">
        <v>26880</v>
      </c>
      <c r="J20" s="43" t="n">
        <v>33.54</v>
      </c>
      <c r="K20" s="43" t="n">
        <v>1.35</v>
      </c>
      <c r="L20" s="44" t="n">
        <v>83.68000000000001</v>
      </c>
    </row>
    <row r="21" ht="13" customHeight="1">
      <c r="A21" s="6" t="n">
        <v>22200</v>
      </c>
      <c r="B21" s="40" t="n">
        <v>29</v>
      </c>
      <c r="C21" s="40" t="n">
        <v>-2</v>
      </c>
      <c r="D21" s="40" t="n">
        <v>12</v>
      </c>
      <c r="E21" s="41" t="n"/>
      <c r="F21" s="41" t="n">
        <v>2011.9</v>
      </c>
      <c r="G21" s="42" t="n">
        <v>20160</v>
      </c>
      <c r="H21" s="42" t="n">
        <v>6194</v>
      </c>
      <c r="I21" s="42" t="n">
        <v>102632</v>
      </c>
      <c r="J21" s="43" t="n">
        <v>32.79</v>
      </c>
      <c r="K21" s="43" t="n">
        <v>1.35</v>
      </c>
      <c r="L21" s="44" t="n">
        <v>695.17</v>
      </c>
    </row>
    <row r="22" ht="13" customHeight="1">
      <c r="A22" s="4" t="n">
        <v>22250</v>
      </c>
      <c r="B22" s="40" t="n">
        <v>8</v>
      </c>
      <c r="C22" s="40" t="n">
        <v>5</v>
      </c>
      <c r="D22" s="40" t="n">
        <v>11</v>
      </c>
      <c r="E22" s="41" t="n"/>
      <c r="F22" s="41" t="n">
        <v>1955.9</v>
      </c>
      <c r="G22" s="42" t="n">
        <v>2824</v>
      </c>
      <c r="H22" s="42" t="n">
        <v>136</v>
      </c>
      <c r="I22" s="42" t="n">
        <v>25041</v>
      </c>
      <c r="J22" s="43" t="n">
        <v>32.17</v>
      </c>
      <c r="K22" s="43" t="n">
        <v>1.4</v>
      </c>
      <c r="L22" s="44" t="n">
        <v>353</v>
      </c>
    </row>
    <row r="23" ht="13" customHeight="1">
      <c r="A23" s="6" t="n">
        <v>22300</v>
      </c>
      <c r="B23" s="40" t="n">
        <v>15</v>
      </c>
      <c r="C23" s="40" t="n">
        <v>-4</v>
      </c>
      <c r="D23" s="40" t="n">
        <v>6</v>
      </c>
      <c r="E23" s="41" t="n">
        <v>47.99</v>
      </c>
      <c r="F23" s="41" t="n">
        <v>1955.1</v>
      </c>
      <c r="G23" s="42" t="n">
        <v>20565</v>
      </c>
      <c r="H23" s="42" t="n">
        <v>10157</v>
      </c>
      <c r="I23" s="42" t="n">
        <v>113900</v>
      </c>
      <c r="J23" s="43" t="n">
        <v>31.54</v>
      </c>
      <c r="K23" s="43" t="n">
        <v>1.45</v>
      </c>
      <c r="L23" s="44" t="n">
        <v>1371</v>
      </c>
    </row>
    <row r="24" ht="13" customHeight="1">
      <c r="A24" s="4" t="n">
        <v>22350</v>
      </c>
      <c r="B24" s="40" t="n">
        <v>32</v>
      </c>
      <c r="C24" s="40" t="n">
        <v>-14</v>
      </c>
      <c r="D24" s="40" t="n">
        <v>14</v>
      </c>
      <c r="E24" s="41" t="n"/>
      <c r="F24" s="41" t="n">
        <v>1861.45</v>
      </c>
      <c r="G24" s="42" t="n">
        <v>2896</v>
      </c>
      <c r="H24" s="42" t="n">
        <v>-98</v>
      </c>
      <c r="I24" s="42" t="n">
        <v>26184</v>
      </c>
      <c r="J24" s="43" t="n">
        <v>30.9</v>
      </c>
      <c r="K24" s="43" t="n">
        <v>1.5</v>
      </c>
      <c r="L24" s="44" t="n">
        <v>90.5</v>
      </c>
    </row>
    <row r="25" ht="13" customHeight="1">
      <c r="A25" s="6" t="n">
        <v>22400</v>
      </c>
      <c r="B25" s="40" t="n">
        <v>32</v>
      </c>
      <c r="C25" s="40" t="n">
        <v>-8</v>
      </c>
      <c r="D25" s="40" t="n">
        <v>12</v>
      </c>
      <c r="E25" s="41" t="n"/>
      <c r="F25" s="41" t="n">
        <v>1811.5</v>
      </c>
      <c r="G25" s="42" t="n">
        <v>12982</v>
      </c>
      <c r="H25" s="42" t="n">
        <v>919</v>
      </c>
      <c r="I25" s="42" t="n">
        <v>108673</v>
      </c>
      <c r="J25" s="43" t="n">
        <v>30.14</v>
      </c>
      <c r="K25" s="43" t="n">
        <v>1.5</v>
      </c>
      <c r="L25" s="44" t="n">
        <v>405.69</v>
      </c>
    </row>
    <row r="26" ht="13" customHeight="1">
      <c r="A26" s="4" t="n">
        <v>22450</v>
      </c>
      <c r="B26" s="40" t="n">
        <v>18</v>
      </c>
      <c r="C26" s="40" t="n">
        <v>0</v>
      </c>
      <c r="D26" s="40" t="n">
        <v>1</v>
      </c>
      <c r="E26" s="41" t="n"/>
      <c r="F26" s="41" t="n">
        <v>1723.45</v>
      </c>
      <c r="G26" s="42" t="n">
        <v>5141</v>
      </c>
      <c r="H26" s="42" t="n">
        <v>2972</v>
      </c>
      <c r="I26" s="42" t="n">
        <v>40753</v>
      </c>
      <c r="J26" s="43" t="n">
        <v>29.6</v>
      </c>
      <c r="K26" s="43" t="n">
        <v>1.6</v>
      </c>
      <c r="L26" s="44" t="n">
        <v>285.61</v>
      </c>
    </row>
    <row r="27" ht="13" customHeight="1">
      <c r="A27" s="6" t="n">
        <v>22500</v>
      </c>
      <c r="B27" s="40" t="n">
        <v>182</v>
      </c>
      <c r="C27" s="40" t="n">
        <v>-2</v>
      </c>
      <c r="D27" s="40" t="n">
        <v>29</v>
      </c>
      <c r="E27" s="41" t="n"/>
      <c r="F27" s="41" t="n">
        <v>1717.35</v>
      </c>
      <c r="G27" s="42" t="n">
        <v>108674</v>
      </c>
      <c r="H27" s="42" t="n">
        <v>13919</v>
      </c>
      <c r="I27" s="42" t="n">
        <v>550357</v>
      </c>
      <c r="J27" s="43" t="n">
        <v>28.61</v>
      </c>
      <c r="K27" s="43" t="n">
        <v>1.5</v>
      </c>
      <c r="L27" s="44" t="n">
        <v>597.11</v>
      </c>
    </row>
    <row r="28" ht="13" customHeight="1">
      <c r="A28" s="4" t="n">
        <v>22550</v>
      </c>
      <c r="B28" s="40" t="n">
        <v>34</v>
      </c>
      <c r="C28" s="40" t="n">
        <v>-7</v>
      </c>
      <c r="D28" s="40" t="n">
        <v>13</v>
      </c>
      <c r="E28" s="41" t="n"/>
      <c r="F28" s="41" t="n">
        <v>1609.05</v>
      </c>
      <c r="G28" s="42" t="n">
        <v>9829</v>
      </c>
      <c r="H28" s="42" t="n">
        <v>2705</v>
      </c>
      <c r="I28" s="42" t="n">
        <v>78551</v>
      </c>
      <c r="J28" s="43" t="n">
        <v>27.85</v>
      </c>
      <c r="K28" s="43" t="n">
        <v>1.5</v>
      </c>
      <c r="L28" s="44" t="n">
        <v>289.09</v>
      </c>
    </row>
    <row r="29" ht="13" customHeight="1">
      <c r="A29" s="6" t="n">
        <v>22600</v>
      </c>
      <c r="B29" s="40" t="n">
        <v>37</v>
      </c>
      <c r="C29" s="40" t="n">
        <v>-1</v>
      </c>
      <c r="D29" s="40" t="n">
        <v>3</v>
      </c>
      <c r="E29" s="41" t="n"/>
      <c r="F29" s="41" t="n">
        <v>1606.25</v>
      </c>
      <c r="G29" s="42" t="n">
        <v>31813</v>
      </c>
      <c r="H29" s="42" t="n">
        <v>131</v>
      </c>
      <c r="I29" s="42" t="n">
        <v>204077</v>
      </c>
      <c r="J29" s="43" t="n">
        <v>27.4</v>
      </c>
      <c r="K29" s="43" t="n">
        <v>1.65</v>
      </c>
      <c r="L29" s="44" t="n">
        <v>859.8099999999999</v>
      </c>
    </row>
    <row r="30" ht="13" customHeight="1">
      <c r="A30" s="4" t="n">
        <v>22650</v>
      </c>
      <c r="B30" s="40" t="n">
        <v>33</v>
      </c>
      <c r="C30" s="40" t="n">
        <v>0</v>
      </c>
      <c r="D30" s="40" t="n">
        <v>0</v>
      </c>
      <c r="E30" s="41" t="n">
        <v>51.33</v>
      </c>
      <c r="F30" s="41" t="n">
        <v>1428.85</v>
      </c>
      <c r="G30" s="42" t="n">
        <v>7232</v>
      </c>
      <c r="H30" s="42" t="n">
        <v>966</v>
      </c>
      <c r="I30" s="42" t="n">
        <v>75440</v>
      </c>
      <c r="J30" s="43" t="n">
        <v>27</v>
      </c>
      <c r="K30" s="43" t="n">
        <v>1.85</v>
      </c>
      <c r="L30" s="44" t="n">
        <v>219.15</v>
      </c>
    </row>
    <row r="31" ht="13" customHeight="1">
      <c r="A31" s="6" t="n">
        <v>22700</v>
      </c>
      <c r="B31" s="40" t="n">
        <v>36</v>
      </c>
      <c r="C31" s="40" t="n">
        <v>7</v>
      </c>
      <c r="D31" s="40" t="n">
        <v>18</v>
      </c>
      <c r="E31" s="41" t="n"/>
      <c r="F31" s="41" t="n">
        <v>1509.95</v>
      </c>
      <c r="G31" s="42" t="n">
        <v>46616</v>
      </c>
      <c r="H31" s="42" t="n">
        <v>19090</v>
      </c>
      <c r="I31" s="42" t="n">
        <v>267087</v>
      </c>
      <c r="J31" s="43" t="n">
        <v>26.04</v>
      </c>
      <c r="K31" s="43" t="n">
        <v>1.75</v>
      </c>
      <c r="L31" s="44" t="n">
        <v>1294.89</v>
      </c>
    </row>
    <row r="32" ht="13" customHeight="1">
      <c r="A32" s="4" t="n">
        <v>22750</v>
      </c>
      <c r="B32" s="40" t="n">
        <v>45</v>
      </c>
      <c r="C32" s="40" t="n">
        <v>0</v>
      </c>
      <c r="D32" s="40" t="n">
        <v>1</v>
      </c>
      <c r="E32" s="41" t="n"/>
      <c r="F32" s="41" t="n">
        <v>1424.35</v>
      </c>
      <c r="G32" s="42" t="n">
        <v>10081</v>
      </c>
      <c r="H32" s="42" t="n">
        <v>1264</v>
      </c>
      <c r="I32" s="42" t="n">
        <v>75937</v>
      </c>
      <c r="J32" s="43" t="n">
        <v>25.44</v>
      </c>
      <c r="K32" s="43" t="n">
        <v>1.85</v>
      </c>
      <c r="L32" s="44" t="n">
        <v>224.02</v>
      </c>
    </row>
    <row r="33" ht="13" customHeight="1">
      <c r="A33" s="6" t="n">
        <v>22800</v>
      </c>
      <c r="B33" s="40" t="n">
        <v>96</v>
      </c>
      <c r="C33" s="40" t="n">
        <v>9</v>
      </c>
      <c r="D33" s="40" t="n">
        <v>9</v>
      </c>
      <c r="E33" s="41" t="n"/>
      <c r="F33" s="41" t="n">
        <v>1407</v>
      </c>
      <c r="G33" s="42" t="n">
        <v>59723</v>
      </c>
      <c r="H33" s="42" t="n">
        <v>19176</v>
      </c>
      <c r="I33" s="42" t="n">
        <v>448162</v>
      </c>
      <c r="J33" s="43" t="n">
        <v>25.06</v>
      </c>
      <c r="K33" s="43" t="n">
        <v>2.1</v>
      </c>
      <c r="L33" s="44" t="n">
        <v>622.11</v>
      </c>
    </row>
    <row r="34" ht="13" customHeight="1">
      <c r="A34" s="4" t="n">
        <v>22850</v>
      </c>
      <c r="B34" s="40" t="n">
        <v>67</v>
      </c>
      <c r="C34" s="40" t="n">
        <v>-8</v>
      </c>
      <c r="D34" s="40" t="n">
        <v>25</v>
      </c>
      <c r="E34" s="41" t="n"/>
      <c r="F34" s="41" t="n">
        <v>1338.15</v>
      </c>
      <c r="G34" s="42" t="n">
        <v>9153</v>
      </c>
      <c r="H34" s="42" t="n">
        <v>2488</v>
      </c>
      <c r="I34" s="42" t="n">
        <v>85113</v>
      </c>
      <c r="J34" s="43" t="n">
        <v>24.49</v>
      </c>
      <c r="K34" s="43" t="n">
        <v>2.25</v>
      </c>
      <c r="L34" s="44" t="n">
        <v>136.61</v>
      </c>
    </row>
    <row r="35" ht="13" customHeight="1">
      <c r="A35" s="6" t="n">
        <v>22900</v>
      </c>
      <c r="B35" s="40" t="n">
        <v>24</v>
      </c>
      <c r="C35" s="40" t="n">
        <v>1</v>
      </c>
      <c r="D35" s="40" t="n">
        <v>10</v>
      </c>
      <c r="E35" s="41" t="n"/>
      <c r="F35" s="41" t="n">
        <v>1305.4</v>
      </c>
      <c r="G35" s="42" t="n">
        <v>34578</v>
      </c>
      <c r="H35" s="42" t="n">
        <v>11301</v>
      </c>
      <c r="I35" s="42" t="n">
        <v>324879</v>
      </c>
      <c r="J35" s="43" t="n">
        <v>23.69</v>
      </c>
      <c r="K35" s="43" t="n">
        <v>2.25</v>
      </c>
      <c r="L35" s="44" t="n">
        <v>1440.75</v>
      </c>
    </row>
    <row r="36" ht="13" customHeight="1">
      <c r="A36" s="4" t="n">
        <v>22950</v>
      </c>
      <c r="B36" s="40" t="n">
        <v>91</v>
      </c>
      <c r="C36" s="40" t="n">
        <v>-9</v>
      </c>
      <c r="D36" s="40" t="n">
        <v>12</v>
      </c>
      <c r="E36" s="41" t="n"/>
      <c r="F36" s="41" t="n">
        <v>1252.55</v>
      </c>
      <c r="G36" s="42" t="n">
        <v>9859</v>
      </c>
      <c r="H36" s="42" t="n">
        <v>348</v>
      </c>
      <c r="I36" s="42" t="n">
        <v>111977</v>
      </c>
      <c r="J36" s="43" t="n">
        <v>22.96</v>
      </c>
      <c r="K36" s="43" t="n">
        <v>2.3</v>
      </c>
      <c r="L36" s="44" t="n">
        <v>108.34</v>
      </c>
    </row>
    <row r="37" ht="13" customHeight="1">
      <c r="A37" s="6" t="n">
        <v>23000</v>
      </c>
      <c r="B37" s="40" t="n">
        <v>1495</v>
      </c>
      <c r="C37" s="40" t="n">
        <v>-54</v>
      </c>
      <c r="D37" s="40" t="n">
        <v>655</v>
      </c>
      <c r="E37" s="41" t="n"/>
      <c r="F37" s="41" t="n">
        <v>1215.85</v>
      </c>
      <c r="G37" s="42" t="n">
        <v>188373</v>
      </c>
      <c r="H37" s="42" t="n">
        <v>61076</v>
      </c>
      <c r="I37" s="42" t="n">
        <v>1006753</v>
      </c>
      <c r="J37" s="43" t="n">
        <v>22.34</v>
      </c>
      <c r="K37" s="43" t="n">
        <v>2.45</v>
      </c>
      <c r="L37" s="44" t="n">
        <v>126</v>
      </c>
    </row>
    <row r="38" ht="13" customHeight="1">
      <c r="A38" s="4" t="n">
        <v>23050</v>
      </c>
      <c r="B38" s="40" t="n">
        <v>54</v>
      </c>
      <c r="C38" s="40" t="n">
        <v>-1</v>
      </c>
      <c r="D38" s="40" t="n">
        <v>8</v>
      </c>
      <c r="E38" s="41" t="n"/>
      <c r="F38" s="41" t="n">
        <v>1140.25</v>
      </c>
      <c r="G38" s="42" t="n">
        <v>12463</v>
      </c>
      <c r="H38" s="42" t="n">
        <v>-1268</v>
      </c>
      <c r="I38" s="42" t="n">
        <v>138654</v>
      </c>
      <c r="J38" s="43" t="n">
        <v>21.59</v>
      </c>
      <c r="K38" s="43" t="n">
        <v>2.5</v>
      </c>
      <c r="L38" s="44" t="n">
        <v>230.8</v>
      </c>
    </row>
    <row r="39" ht="13" customHeight="1">
      <c r="A39" s="6" t="n">
        <v>23100</v>
      </c>
      <c r="B39" s="40" t="n">
        <v>130</v>
      </c>
      <c r="C39" s="40" t="n">
        <v>30</v>
      </c>
      <c r="D39" s="40" t="n">
        <v>172</v>
      </c>
      <c r="E39" s="41" t="n"/>
      <c r="F39" s="41" t="n">
        <v>1116.6</v>
      </c>
      <c r="G39" s="42" t="n">
        <v>42054</v>
      </c>
      <c r="H39" s="42" t="n">
        <v>11449</v>
      </c>
      <c r="I39" s="42" t="n">
        <v>425825</v>
      </c>
      <c r="J39" s="43" t="n">
        <v>21.01</v>
      </c>
      <c r="K39" s="43" t="n">
        <v>2.7</v>
      </c>
      <c r="L39" s="44" t="n">
        <v>323.49</v>
      </c>
    </row>
    <row r="40" ht="13" customHeight="1">
      <c r="A40" s="4" t="n">
        <v>23150</v>
      </c>
      <c r="B40" s="40" t="n">
        <v>47</v>
      </c>
      <c r="C40" s="40" t="n">
        <v>24</v>
      </c>
      <c r="D40" s="40" t="n">
        <v>29</v>
      </c>
      <c r="E40" s="41" t="n"/>
      <c r="F40" s="41" t="n">
        <v>1030.65</v>
      </c>
      <c r="G40" s="42" t="n">
        <v>13673</v>
      </c>
      <c r="H40" s="42" t="n">
        <v>1002</v>
      </c>
      <c r="I40" s="42" t="n">
        <v>203593</v>
      </c>
      <c r="J40" s="43" t="n">
        <v>20.39</v>
      </c>
      <c r="K40" s="43" t="n">
        <v>2.9</v>
      </c>
      <c r="L40" s="44" t="n">
        <v>290.91</v>
      </c>
    </row>
    <row r="41" ht="13" customHeight="1">
      <c r="A41" s="6" t="n">
        <v>23200</v>
      </c>
      <c r="B41" s="40" t="n">
        <v>588</v>
      </c>
      <c r="C41" s="40" t="n">
        <v>-120</v>
      </c>
      <c r="D41" s="40" t="n">
        <v>613</v>
      </c>
      <c r="E41" s="41" t="n"/>
      <c r="F41" s="41" t="n">
        <v>1017.8</v>
      </c>
      <c r="G41" s="42" t="n">
        <v>85217</v>
      </c>
      <c r="H41" s="42" t="n">
        <v>47715</v>
      </c>
      <c r="I41" s="42" t="n">
        <v>591520</v>
      </c>
      <c r="J41" s="43" t="n">
        <v>19.7</v>
      </c>
      <c r="K41" s="43" t="n">
        <v>3.05</v>
      </c>
      <c r="L41" s="44" t="n">
        <v>144.93</v>
      </c>
    </row>
    <row r="42" ht="13" customHeight="1">
      <c r="A42" s="4" t="n">
        <v>23250</v>
      </c>
      <c r="B42" s="40" t="n">
        <v>273</v>
      </c>
      <c r="C42" s="40" t="n">
        <v>30</v>
      </c>
      <c r="D42" s="40" t="n">
        <v>93</v>
      </c>
      <c r="E42" s="41" t="n"/>
      <c r="F42" s="41" t="n">
        <v>967.3</v>
      </c>
      <c r="G42" s="42" t="n">
        <v>23318</v>
      </c>
      <c r="H42" s="42" t="n">
        <v>-5888</v>
      </c>
      <c r="I42" s="42" t="n">
        <v>280580</v>
      </c>
      <c r="J42" s="43" t="n">
        <v>19</v>
      </c>
      <c r="K42" s="43" t="n">
        <v>3.2</v>
      </c>
      <c r="L42" s="44" t="n">
        <v>85.41</v>
      </c>
    </row>
    <row r="43" ht="13" customHeight="1">
      <c r="A43" s="6" t="n">
        <v>23300</v>
      </c>
      <c r="B43" s="40" t="n">
        <v>1815</v>
      </c>
      <c r="C43" s="40" t="n">
        <v>-1</v>
      </c>
      <c r="D43" s="40" t="n">
        <v>132</v>
      </c>
      <c r="E43" s="41" t="n"/>
      <c r="F43" s="41" t="n">
        <v>917.55</v>
      </c>
      <c r="G43" s="42" t="n">
        <v>84712</v>
      </c>
      <c r="H43" s="42" t="n">
        <v>38659</v>
      </c>
      <c r="I43" s="42" t="n">
        <v>556909</v>
      </c>
      <c r="J43" s="43" t="n">
        <v>18.45</v>
      </c>
      <c r="K43" s="43" t="n">
        <v>3.55</v>
      </c>
      <c r="L43" s="44" t="n">
        <v>46.67</v>
      </c>
    </row>
    <row r="44" ht="13" customHeight="1">
      <c r="A44" s="4" t="n">
        <v>23350</v>
      </c>
      <c r="B44" s="40" t="n">
        <v>79</v>
      </c>
      <c r="C44" s="40" t="n">
        <v>-4</v>
      </c>
      <c r="D44" s="40" t="n">
        <v>116</v>
      </c>
      <c r="E44" s="41" t="n"/>
      <c r="F44" s="41" t="n">
        <v>868.05</v>
      </c>
      <c r="G44" s="42" t="n">
        <v>18605</v>
      </c>
      <c r="H44" s="42" t="n">
        <v>-883</v>
      </c>
      <c r="I44" s="42" t="n">
        <v>281821</v>
      </c>
      <c r="J44" s="43" t="n">
        <v>17.85</v>
      </c>
      <c r="K44" s="43" t="n">
        <v>3.9</v>
      </c>
      <c r="L44" s="44" t="n">
        <v>235.51</v>
      </c>
    </row>
    <row r="45" ht="13" customHeight="1">
      <c r="A45" s="6" t="n">
        <v>23400</v>
      </c>
      <c r="B45" s="40" t="n">
        <v>675</v>
      </c>
      <c r="C45" s="40" t="n">
        <v>18</v>
      </c>
      <c r="D45" s="40" t="n">
        <v>475</v>
      </c>
      <c r="E45" s="41" t="n"/>
      <c r="F45" s="41" t="n">
        <v>818.55</v>
      </c>
      <c r="G45" s="42" t="n">
        <v>58686</v>
      </c>
      <c r="H45" s="42" t="n">
        <v>-3279</v>
      </c>
      <c r="I45" s="42" t="n">
        <v>582934</v>
      </c>
      <c r="J45" s="43" t="n">
        <v>17.18</v>
      </c>
      <c r="K45" s="43" t="n">
        <v>4.2</v>
      </c>
      <c r="L45" s="44" t="n">
        <v>86.94</v>
      </c>
    </row>
    <row r="46" ht="13" customHeight="1">
      <c r="A46" s="4" t="n">
        <v>23450</v>
      </c>
      <c r="B46" s="40" t="n">
        <v>177</v>
      </c>
      <c r="C46" s="40" t="n">
        <v>21</v>
      </c>
      <c r="D46" s="40" t="n">
        <v>229</v>
      </c>
      <c r="E46" s="41" t="n"/>
      <c r="F46" s="41" t="n">
        <v>769.05</v>
      </c>
      <c r="G46" s="42" t="n">
        <v>22712</v>
      </c>
      <c r="H46" s="42" t="n">
        <v>2928</v>
      </c>
      <c r="I46" s="42" t="n">
        <v>373000</v>
      </c>
      <c r="J46" s="43" t="n">
        <v>16.55</v>
      </c>
      <c r="K46" s="43" t="n">
        <v>4.6</v>
      </c>
      <c r="L46" s="44" t="n">
        <v>128.32</v>
      </c>
    </row>
    <row r="47" ht="13" customHeight="1">
      <c r="A47" s="6" t="n">
        <v>23500</v>
      </c>
      <c r="B47" s="40" t="n">
        <v>3960</v>
      </c>
      <c r="C47" s="40" t="n">
        <v>-371</v>
      </c>
      <c r="D47" s="40" t="n">
        <v>6685</v>
      </c>
      <c r="E47" s="41" t="n"/>
      <c r="F47" s="41" t="n">
        <v>723.6</v>
      </c>
      <c r="G47" s="42" t="n">
        <v>153169</v>
      </c>
      <c r="H47" s="42" t="n">
        <v>26855</v>
      </c>
      <c r="I47" s="42" t="n">
        <v>1012131</v>
      </c>
      <c r="J47" s="43" t="n">
        <v>16.02</v>
      </c>
      <c r="K47" s="43" t="n">
        <v>5.25</v>
      </c>
      <c r="L47" s="44" t="n">
        <v>38.68</v>
      </c>
    </row>
    <row r="48" ht="13" customHeight="1">
      <c r="A48" s="4" t="n">
        <v>23550</v>
      </c>
      <c r="B48" s="40" t="n">
        <v>316</v>
      </c>
      <c r="C48" s="40" t="n">
        <v>-103</v>
      </c>
      <c r="D48" s="40" t="n">
        <v>678</v>
      </c>
      <c r="E48" s="41" t="n"/>
      <c r="F48" s="41" t="n">
        <v>670.4</v>
      </c>
      <c r="G48" s="42" t="n">
        <v>32154</v>
      </c>
      <c r="H48" s="42" t="n">
        <v>-1553</v>
      </c>
      <c r="I48" s="42" t="n">
        <v>377570</v>
      </c>
      <c r="J48" s="43" t="n">
        <v>15.42</v>
      </c>
      <c r="K48" s="43" t="n">
        <v>5.9</v>
      </c>
      <c r="L48" s="44" t="n">
        <v>101.75</v>
      </c>
    </row>
    <row r="49" ht="13" customHeight="1">
      <c r="A49" s="6" t="n">
        <v>23600</v>
      </c>
      <c r="B49" s="40" t="n">
        <v>1683</v>
      </c>
      <c r="C49" s="40" t="n">
        <v>-333</v>
      </c>
      <c r="D49" s="40" t="n">
        <v>3434</v>
      </c>
      <c r="E49" s="41" t="n"/>
      <c r="F49" s="41" t="n">
        <v>621.8</v>
      </c>
      <c r="G49" s="42" t="n">
        <v>105077</v>
      </c>
      <c r="H49" s="42" t="n">
        <v>-25629</v>
      </c>
      <c r="I49" s="42" t="n">
        <v>833726</v>
      </c>
      <c r="J49" s="43" t="n">
        <v>14.86</v>
      </c>
      <c r="K49" s="43" t="n">
        <v>6.75</v>
      </c>
      <c r="L49" s="44" t="n">
        <v>62.43</v>
      </c>
    </row>
    <row r="50" ht="13" customHeight="1">
      <c r="A50" s="4" t="n">
        <v>23650</v>
      </c>
      <c r="B50" s="40" t="n">
        <v>552</v>
      </c>
      <c r="C50" s="40" t="n">
        <v>-214</v>
      </c>
      <c r="D50" s="40" t="n">
        <v>1939</v>
      </c>
      <c r="E50" s="41" t="n"/>
      <c r="F50" s="41" t="n">
        <v>573.25</v>
      </c>
      <c r="G50" s="42" t="n">
        <v>38084</v>
      </c>
      <c r="H50" s="42" t="n">
        <v>12436</v>
      </c>
      <c r="I50" s="42" t="n">
        <v>411147</v>
      </c>
      <c r="J50" s="43" t="n">
        <v>14.34</v>
      </c>
      <c r="K50" s="43" t="n">
        <v>7.9</v>
      </c>
      <c r="L50" s="44" t="n">
        <v>68.98999999999999</v>
      </c>
    </row>
    <row r="51" ht="13" customHeight="1">
      <c r="A51" s="6" t="n">
        <v>23700</v>
      </c>
      <c r="B51" s="40" t="n">
        <v>4041</v>
      </c>
      <c r="C51" s="40" t="n">
        <v>-608</v>
      </c>
      <c r="D51" s="40" t="n">
        <v>12482</v>
      </c>
      <c r="E51" s="41" t="n"/>
      <c r="F51" s="41" t="n">
        <v>522.75</v>
      </c>
      <c r="G51" s="42" t="n">
        <v>109100</v>
      </c>
      <c r="H51" s="42" t="n">
        <v>33298</v>
      </c>
      <c r="I51" s="42" t="n">
        <v>821102</v>
      </c>
      <c r="J51" s="43" t="n">
        <v>13.77</v>
      </c>
      <c r="K51" s="43" t="n">
        <v>9.15</v>
      </c>
      <c r="L51" s="44" t="n">
        <v>27</v>
      </c>
    </row>
    <row r="52" ht="13" customHeight="1">
      <c r="A52" s="4" t="n">
        <v>23750</v>
      </c>
      <c r="B52" s="40" t="n">
        <v>781</v>
      </c>
      <c r="C52" s="40" t="n">
        <v>-528</v>
      </c>
      <c r="D52" s="40" t="n">
        <v>7028</v>
      </c>
      <c r="E52" s="41" t="n"/>
      <c r="F52" s="41" t="n">
        <v>476.3</v>
      </c>
      <c r="G52" s="42" t="n">
        <v>54142</v>
      </c>
      <c r="H52" s="42" t="n">
        <v>27098</v>
      </c>
      <c r="I52" s="42" t="n">
        <v>553079</v>
      </c>
      <c r="J52" s="43" t="n">
        <v>13.31</v>
      </c>
      <c r="K52" s="43" t="n">
        <v>11.05</v>
      </c>
      <c r="L52" s="44" t="n">
        <v>69.31999999999999</v>
      </c>
    </row>
    <row r="53" ht="13" customHeight="1">
      <c r="A53" s="6" t="n">
        <v>23800</v>
      </c>
      <c r="B53" s="40" t="n">
        <v>8764</v>
      </c>
      <c r="C53" s="40" t="n">
        <v>-5896</v>
      </c>
      <c r="D53" s="40" t="n">
        <v>61758</v>
      </c>
      <c r="E53" s="41" t="n"/>
      <c r="F53" s="41" t="n">
        <v>429.25</v>
      </c>
      <c r="G53" s="42" t="n">
        <v>135685</v>
      </c>
      <c r="H53" s="42" t="n">
        <v>35681</v>
      </c>
      <c r="I53" s="42" t="n">
        <v>1528900</v>
      </c>
      <c r="J53" s="43" t="n">
        <v>12.88</v>
      </c>
      <c r="K53" s="43" t="n">
        <v>13.55</v>
      </c>
      <c r="L53" s="44" t="n">
        <v>15.48</v>
      </c>
    </row>
    <row r="54" ht="13" customHeight="1">
      <c r="A54" s="4" t="n">
        <v>23850</v>
      </c>
      <c r="B54" s="40" t="n">
        <v>4861</v>
      </c>
      <c r="C54" s="40" t="n">
        <v>-3489</v>
      </c>
      <c r="D54" s="40" t="n">
        <v>25665</v>
      </c>
      <c r="E54" s="41" t="n"/>
      <c r="F54" s="41" t="n">
        <v>381.5</v>
      </c>
      <c r="G54" s="42" t="n">
        <v>50694</v>
      </c>
      <c r="H54" s="42" t="n">
        <v>18612</v>
      </c>
      <c r="I54" s="42" t="n">
        <v>754811</v>
      </c>
      <c r="J54" s="43" t="n">
        <v>12.37</v>
      </c>
      <c r="K54" s="43" t="n">
        <v>16.35</v>
      </c>
      <c r="L54" s="44" t="n">
        <v>10.43</v>
      </c>
    </row>
    <row r="55" ht="13" customHeight="1">
      <c r="A55" s="6" t="n">
        <v>23900</v>
      </c>
      <c r="B55" s="40" t="n">
        <v>13729</v>
      </c>
      <c r="C55" s="40" t="n">
        <v>-15366</v>
      </c>
      <c r="D55" s="40" t="n">
        <v>161569</v>
      </c>
      <c r="E55" s="41" t="n">
        <v>7.49</v>
      </c>
      <c r="F55" s="41" t="n">
        <v>336</v>
      </c>
      <c r="G55" s="42" t="n">
        <v>100653</v>
      </c>
      <c r="H55" s="42" t="n">
        <v>31612</v>
      </c>
      <c r="I55" s="42" t="n">
        <v>1495038</v>
      </c>
      <c r="J55" s="43" t="n">
        <v>11.87</v>
      </c>
      <c r="K55" s="43" t="n">
        <v>19.9</v>
      </c>
      <c r="L55" s="44" t="n">
        <v>7.33</v>
      </c>
    </row>
    <row r="56" ht="13" customHeight="1">
      <c r="A56" s="4" t="n">
        <v>23950</v>
      </c>
      <c r="B56" s="40" t="n">
        <v>5460</v>
      </c>
      <c r="C56" s="40" t="n">
        <v>-15954</v>
      </c>
      <c r="D56" s="40" t="n">
        <v>131530</v>
      </c>
      <c r="E56" s="41" t="n">
        <v>8.630000000000001</v>
      </c>
      <c r="F56" s="41" t="n">
        <v>293</v>
      </c>
      <c r="G56" s="42" t="n">
        <v>57665</v>
      </c>
      <c r="H56" s="42" t="n">
        <v>23893</v>
      </c>
      <c r="I56" s="42" t="n">
        <v>1128815</v>
      </c>
      <c r="J56" s="43" t="n">
        <v>11.48</v>
      </c>
      <c r="K56" s="43" t="n">
        <v>25.1</v>
      </c>
      <c r="L56" s="44" t="n">
        <v>10.56</v>
      </c>
    </row>
    <row r="57" ht="13" customHeight="1">
      <c r="A57" s="6" t="n">
        <v>24000</v>
      </c>
      <c r="B57" s="40" t="n">
        <v>50180</v>
      </c>
      <c r="C57" s="40" t="n">
        <v>-71080</v>
      </c>
      <c r="D57" s="40" t="n">
        <v>1038532</v>
      </c>
      <c r="E57" s="41" t="n">
        <v>8.16</v>
      </c>
      <c r="F57" s="41" t="n">
        <v>246.4</v>
      </c>
      <c r="G57" s="42" t="n">
        <v>161957</v>
      </c>
      <c r="H57" s="42" t="n">
        <v>68949</v>
      </c>
      <c r="I57" s="42" t="n">
        <v>2872110</v>
      </c>
      <c r="J57" s="43" t="n">
        <v>11.12</v>
      </c>
      <c r="K57" s="43" t="n">
        <v>31.9</v>
      </c>
      <c r="L57" s="44" t="n">
        <v>3.23</v>
      </c>
    </row>
    <row r="58" ht="13" customHeight="1">
      <c r="A58" s="4" t="n">
        <v>24050</v>
      </c>
      <c r="B58" s="40" t="n">
        <v>14334</v>
      </c>
      <c r="C58" s="40" t="n">
        <v>-30831</v>
      </c>
      <c r="D58" s="40" t="n">
        <v>638234</v>
      </c>
      <c r="E58" s="41" t="n">
        <v>8.59</v>
      </c>
      <c r="F58" s="41" t="n">
        <v>207.3</v>
      </c>
      <c r="G58" s="42" t="n">
        <v>51761</v>
      </c>
      <c r="H58" s="42" t="n">
        <v>24961</v>
      </c>
      <c r="I58" s="42" t="n">
        <v>1590100</v>
      </c>
      <c r="J58" s="43" t="n">
        <v>10.81</v>
      </c>
      <c r="K58" s="43" t="n">
        <v>40.9</v>
      </c>
      <c r="L58" s="44" t="n">
        <v>3.61</v>
      </c>
    </row>
    <row r="59" ht="13" customHeight="1">
      <c r="A59" s="6" t="n">
        <v>24100</v>
      </c>
      <c r="B59" s="40" t="n">
        <v>43051</v>
      </c>
      <c r="C59" s="40" t="n">
        <v>-44813</v>
      </c>
      <c r="D59" s="40" t="n">
        <v>2444672</v>
      </c>
      <c r="E59" s="41" t="n">
        <v>8.42</v>
      </c>
      <c r="F59" s="41" t="n">
        <v>167.7</v>
      </c>
      <c r="G59" s="42" t="n">
        <v>122920</v>
      </c>
      <c r="H59" s="42" t="n">
        <v>81979</v>
      </c>
      <c r="I59" s="42" t="n">
        <v>3671401</v>
      </c>
      <c r="J59" s="43" t="n">
        <v>10.51</v>
      </c>
      <c r="K59" s="43" t="n">
        <v>52.4</v>
      </c>
      <c r="L59" s="44" t="n">
        <v>2.86</v>
      </c>
    </row>
    <row r="60" ht="13" customHeight="1">
      <c r="A60" s="4" t="n">
        <v>24150</v>
      </c>
      <c r="B60" s="40" t="n">
        <v>68897</v>
      </c>
      <c r="C60" s="40" t="n">
        <v>33433</v>
      </c>
      <c r="D60" s="40" t="n">
        <v>3462333</v>
      </c>
      <c r="E60" s="41" t="n">
        <v>8.640000000000001</v>
      </c>
      <c r="F60" s="41" t="n">
        <v>135.15</v>
      </c>
      <c r="G60" s="42" t="n">
        <v>121695</v>
      </c>
      <c r="H60" s="42" t="n">
        <v>110035</v>
      </c>
      <c r="I60" s="42" t="n">
        <v>4539113</v>
      </c>
      <c r="J60" s="43" t="n">
        <v>10.32</v>
      </c>
      <c r="K60" s="43" t="n">
        <v>67.75</v>
      </c>
      <c r="L60" s="44" t="n">
        <v>1.77</v>
      </c>
    </row>
    <row r="61" ht="13" customHeight="1">
      <c r="A61" s="45" t="n">
        <v>24200</v>
      </c>
      <c r="B61" s="46" t="n">
        <v>144699</v>
      </c>
      <c r="C61" s="46" t="n">
        <v>6689</v>
      </c>
      <c r="D61" s="46" t="n">
        <v>7567286</v>
      </c>
      <c r="E61" s="47" t="n">
        <v>8.539999999999999</v>
      </c>
      <c r="F61" s="47" t="n">
        <v>104</v>
      </c>
      <c r="G61" s="46" t="n">
        <v>158389</v>
      </c>
      <c r="H61" s="46" t="n">
        <v>115617</v>
      </c>
      <c r="I61" s="46" t="n">
        <v>6379639</v>
      </c>
      <c r="J61" s="47" t="n">
        <v>10.28</v>
      </c>
      <c r="K61" s="47" t="n">
        <v>88.05</v>
      </c>
      <c r="L61" s="48" t="n">
        <v>1.09</v>
      </c>
    </row>
    <row r="62" ht="13" customHeight="1">
      <c r="A62" s="4" t="n">
        <v>24250</v>
      </c>
      <c r="B62" s="40" t="n">
        <v>86704</v>
      </c>
      <c r="C62" s="40" t="n">
        <v>25357</v>
      </c>
      <c r="D62" s="40" t="n">
        <v>3765898</v>
      </c>
      <c r="E62" s="41" t="n">
        <v>8.550000000000001</v>
      </c>
      <c r="F62" s="41" t="n">
        <v>78.40000000000001</v>
      </c>
      <c r="G62" s="42" t="n">
        <v>53552</v>
      </c>
      <c r="H62" s="42" t="n">
        <v>36076</v>
      </c>
      <c r="I62" s="42" t="n">
        <v>1994014</v>
      </c>
      <c r="J62" s="43" t="n">
        <v>10.15</v>
      </c>
      <c r="K62" s="43" t="n">
        <v>111.15</v>
      </c>
      <c r="L62" s="44" t="n">
        <v>0.62</v>
      </c>
    </row>
    <row r="63" ht="13" customHeight="1">
      <c r="A63" s="6" t="n">
        <v>24300</v>
      </c>
      <c r="B63" s="40" t="n">
        <v>144630</v>
      </c>
      <c r="C63" s="40" t="n">
        <v>11664</v>
      </c>
      <c r="D63" s="40" t="n">
        <v>3822136</v>
      </c>
      <c r="E63" s="41" t="n">
        <v>8.65</v>
      </c>
      <c r="F63" s="41" t="n">
        <v>58.3</v>
      </c>
      <c r="G63" s="42" t="n">
        <v>37771</v>
      </c>
      <c r="H63" s="42" t="n">
        <v>8857</v>
      </c>
      <c r="I63" s="42" t="n">
        <v>1379254</v>
      </c>
      <c r="J63" s="43" t="n">
        <v>10.32</v>
      </c>
      <c r="K63" s="43" t="n">
        <v>141.1</v>
      </c>
      <c r="L63" s="44" t="n">
        <v>0.26</v>
      </c>
    </row>
    <row r="64" ht="13" customHeight="1">
      <c r="A64" s="4" t="n">
        <v>24350</v>
      </c>
      <c r="B64" s="40" t="n">
        <v>46474</v>
      </c>
      <c r="C64" s="40" t="n">
        <v>-6901</v>
      </c>
      <c r="D64" s="40" t="n">
        <v>1844992</v>
      </c>
      <c r="E64" s="41" t="n">
        <v>8.65</v>
      </c>
      <c r="F64" s="41" t="n">
        <v>41.5</v>
      </c>
      <c r="G64" s="42" t="n">
        <v>7175</v>
      </c>
      <c r="H64" s="42" t="n">
        <v>1789</v>
      </c>
      <c r="I64" s="42" t="n">
        <v>316744</v>
      </c>
      <c r="J64" s="43" t="n">
        <v>10.46</v>
      </c>
      <c r="K64" s="43" t="n">
        <v>174.2</v>
      </c>
      <c r="L64" s="44" t="n">
        <v>0.15</v>
      </c>
    </row>
    <row r="65" ht="13" customHeight="1">
      <c r="A65" s="6" t="n">
        <v>24400</v>
      </c>
      <c r="B65" s="40" t="n">
        <v>99528</v>
      </c>
      <c r="C65" s="40" t="n">
        <v>-2203</v>
      </c>
      <c r="D65" s="40" t="n">
        <v>2437591</v>
      </c>
      <c r="E65" s="41" t="n">
        <v>8.74</v>
      </c>
      <c r="F65" s="41" t="n">
        <v>29.2</v>
      </c>
      <c r="G65" s="42" t="n">
        <v>17977</v>
      </c>
      <c r="H65" s="42" t="n">
        <v>625</v>
      </c>
      <c r="I65" s="42" t="n">
        <v>335110</v>
      </c>
      <c r="J65" s="43" t="n">
        <v>11.04</v>
      </c>
      <c r="K65" s="43" t="n">
        <v>214.25</v>
      </c>
      <c r="L65" s="44" t="n">
        <v>0.18</v>
      </c>
    </row>
    <row r="66" ht="13" customHeight="1">
      <c r="A66" s="4" t="n">
        <v>24450</v>
      </c>
      <c r="B66" s="40" t="n">
        <v>52447</v>
      </c>
      <c r="C66" s="40" t="n">
        <v>-1431</v>
      </c>
      <c r="D66" s="40" t="n">
        <v>1519355</v>
      </c>
      <c r="E66" s="41" t="n">
        <v>8.84</v>
      </c>
      <c r="F66" s="41" t="n">
        <v>20.15</v>
      </c>
      <c r="G66" s="42" t="n">
        <v>4465</v>
      </c>
      <c r="H66" s="42" t="n">
        <v>-198</v>
      </c>
      <c r="I66" s="42" t="n">
        <v>51744</v>
      </c>
      <c r="J66" s="43" t="n">
        <v>11.22</v>
      </c>
      <c r="K66" s="43" t="n">
        <v>253.3</v>
      </c>
      <c r="L66" s="44" t="n">
        <v>0.09</v>
      </c>
    </row>
    <row r="67" ht="13" customHeight="1">
      <c r="A67" s="6" t="n">
        <v>24500</v>
      </c>
      <c r="B67" s="40" t="n">
        <v>216461</v>
      </c>
      <c r="C67" s="40" t="n">
        <v>6715</v>
      </c>
      <c r="D67" s="40" t="n">
        <v>3050915</v>
      </c>
      <c r="E67" s="41" t="n">
        <v>8.960000000000001</v>
      </c>
      <c r="F67" s="41" t="n">
        <v>13.7</v>
      </c>
      <c r="G67" s="42" t="n">
        <v>52707</v>
      </c>
      <c r="H67" s="42" t="n">
        <v>-1170</v>
      </c>
      <c r="I67" s="42" t="n">
        <v>155331</v>
      </c>
      <c r="J67" s="43" t="n">
        <v>11.72</v>
      </c>
      <c r="K67" s="43" t="n">
        <v>296.75</v>
      </c>
      <c r="L67" s="44" t="n">
        <v>0.24</v>
      </c>
    </row>
    <row r="68" ht="13" customHeight="1">
      <c r="A68" s="4" t="n">
        <v>24550</v>
      </c>
      <c r="B68" s="40" t="n">
        <v>50082</v>
      </c>
      <c r="C68" s="40" t="n">
        <v>14741</v>
      </c>
      <c r="D68" s="40" t="n">
        <v>980441</v>
      </c>
      <c r="E68" s="41" t="n">
        <v>9.09</v>
      </c>
      <c r="F68" s="41" t="n">
        <v>9.199999999999999</v>
      </c>
      <c r="G68" s="42" t="n">
        <v>1129</v>
      </c>
      <c r="H68" s="42" t="n">
        <v>-91</v>
      </c>
      <c r="I68" s="42" t="n">
        <v>10930</v>
      </c>
      <c r="J68" s="43" t="n">
        <v>12.37</v>
      </c>
      <c r="K68" s="43" t="n">
        <v>342.4</v>
      </c>
      <c r="L68" s="44" t="n">
        <v>0.02</v>
      </c>
    </row>
    <row r="69" ht="13" customHeight="1">
      <c r="A69" s="6" t="n">
        <v>24600</v>
      </c>
      <c r="B69" s="40" t="n">
        <v>120077</v>
      </c>
      <c r="C69" s="40" t="n">
        <v>29718</v>
      </c>
      <c r="D69" s="40" t="n">
        <v>1387306</v>
      </c>
      <c r="E69" s="41" t="n">
        <v>9.34</v>
      </c>
      <c r="F69" s="41" t="n">
        <v>6.45</v>
      </c>
      <c r="G69" s="42" t="n">
        <v>6599</v>
      </c>
      <c r="H69" s="42" t="n">
        <v>-827</v>
      </c>
      <c r="I69" s="42" t="n">
        <v>21885</v>
      </c>
      <c r="J69" s="43" t="n">
        <v>13.18</v>
      </c>
      <c r="K69" s="43" t="n">
        <v>389.8</v>
      </c>
      <c r="L69" s="44" t="n">
        <v>0.05</v>
      </c>
    </row>
    <row r="70" ht="13" customHeight="1">
      <c r="A70" s="4" t="n">
        <v>24650</v>
      </c>
      <c r="B70" s="40" t="n">
        <v>50569</v>
      </c>
      <c r="C70" s="40" t="n">
        <v>14435</v>
      </c>
      <c r="D70" s="40" t="n">
        <v>560796</v>
      </c>
      <c r="E70" s="41" t="n">
        <v>9.630000000000001</v>
      </c>
      <c r="F70" s="41" t="n">
        <v>4.6</v>
      </c>
      <c r="G70" s="42" t="n">
        <v>942</v>
      </c>
      <c r="H70" s="42" t="n">
        <v>-462</v>
      </c>
      <c r="I70" s="42" t="n">
        <v>3369</v>
      </c>
      <c r="J70" s="43" t="n">
        <v>13.89</v>
      </c>
      <c r="K70" s="43" t="n">
        <v>437.2</v>
      </c>
      <c r="L70" s="44" t="n">
        <v>0.02</v>
      </c>
    </row>
    <row r="71" ht="13" customHeight="1">
      <c r="A71" s="6" t="n">
        <v>24700</v>
      </c>
      <c r="B71" s="40" t="n">
        <v>129877</v>
      </c>
      <c r="C71" s="40" t="n">
        <v>13240</v>
      </c>
      <c r="D71" s="40" t="n">
        <v>1035498</v>
      </c>
      <c r="E71" s="41" t="n">
        <v>9.970000000000001</v>
      </c>
      <c r="F71" s="41" t="n">
        <v>3.4</v>
      </c>
      <c r="G71" s="42" t="n">
        <v>2465</v>
      </c>
      <c r="H71" s="42" t="n">
        <v>-426</v>
      </c>
      <c r="I71" s="42" t="n">
        <v>7408</v>
      </c>
      <c r="J71" s="43" t="n">
        <v>15.15</v>
      </c>
      <c r="K71" s="43" t="n">
        <v>487.7</v>
      </c>
      <c r="L71" s="44" t="n">
        <v>0.02</v>
      </c>
    </row>
    <row r="72" ht="13" customHeight="1">
      <c r="A72" s="4" t="n">
        <v>24750</v>
      </c>
      <c r="B72" s="40" t="n">
        <v>28490</v>
      </c>
      <c r="C72" s="40" t="n">
        <v>1596</v>
      </c>
      <c r="D72" s="40" t="n">
        <v>411819</v>
      </c>
      <c r="E72" s="41" t="n">
        <v>10.39</v>
      </c>
      <c r="F72" s="41" t="n">
        <v>2.65</v>
      </c>
      <c r="G72" s="42" t="n">
        <v>383</v>
      </c>
      <c r="H72" s="42" t="n">
        <v>-161</v>
      </c>
      <c r="I72" s="42" t="n">
        <v>1122</v>
      </c>
      <c r="J72" s="43" t="n">
        <v>16.09</v>
      </c>
      <c r="K72" s="43" t="n">
        <v>536.75</v>
      </c>
      <c r="L72" s="44" t="n">
        <v>0.01</v>
      </c>
    </row>
    <row r="73" ht="13" customHeight="1">
      <c r="A73" s="6" t="n">
        <v>24800</v>
      </c>
      <c r="B73" s="40" t="n">
        <v>88640</v>
      </c>
      <c r="C73" s="40" t="n">
        <v>-92</v>
      </c>
      <c r="D73" s="40" t="n">
        <v>1151260</v>
      </c>
      <c r="E73" s="41" t="n">
        <v>10.93</v>
      </c>
      <c r="F73" s="41" t="n">
        <v>2.25</v>
      </c>
      <c r="G73" s="42" t="n">
        <v>1989</v>
      </c>
      <c r="H73" s="42" t="n">
        <v>-306</v>
      </c>
      <c r="I73" s="42" t="n">
        <v>2882</v>
      </c>
      <c r="J73" s="43" t="n">
        <v>17.04</v>
      </c>
      <c r="K73" s="43" t="n">
        <v>586</v>
      </c>
      <c r="L73" s="44" t="n">
        <v>0.02</v>
      </c>
    </row>
    <row r="74" ht="13" customHeight="1">
      <c r="A74" s="4" t="n">
        <v>24850</v>
      </c>
      <c r="B74" s="40" t="n">
        <v>18944</v>
      </c>
      <c r="C74" s="40" t="n">
        <v>-2295</v>
      </c>
      <c r="D74" s="40" t="n">
        <v>568158</v>
      </c>
      <c r="E74" s="41" t="n">
        <v>11.52</v>
      </c>
      <c r="F74" s="41" t="n">
        <v>2</v>
      </c>
      <c r="G74" s="42" t="n">
        <v>432</v>
      </c>
      <c r="H74" s="42" t="n">
        <v>-69</v>
      </c>
      <c r="I74" s="42" t="n">
        <v>235</v>
      </c>
      <c r="J74" s="43" t="n">
        <v>18.14</v>
      </c>
      <c r="K74" s="43" t="n">
        <v>636.05</v>
      </c>
      <c r="L74" s="44" t="n">
        <v>0.02</v>
      </c>
    </row>
    <row r="75" ht="13" customHeight="1">
      <c r="A75" s="6" t="n">
        <v>24900</v>
      </c>
      <c r="B75" s="40" t="n">
        <v>48676</v>
      </c>
      <c r="C75" s="40" t="n">
        <v>-683</v>
      </c>
      <c r="D75" s="40" t="n">
        <v>722950</v>
      </c>
      <c r="E75" s="41" t="n">
        <v>12.01</v>
      </c>
      <c r="F75" s="41" t="n">
        <v>1.7</v>
      </c>
      <c r="G75" s="42" t="n">
        <v>589</v>
      </c>
      <c r="H75" s="42" t="n">
        <v>-131</v>
      </c>
      <c r="I75" s="42" t="n">
        <v>474</v>
      </c>
      <c r="J75" s="43" t="n">
        <v>19.39</v>
      </c>
      <c r="K75" s="43" t="n">
        <v>686.8</v>
      </c>
      <c r="L75" s="44" t="n">
        <v>0.01</v>
      </c>
    </row>
    <row r="76" ht="13" customHeight="1">
      <c r="A76" s="4" t="n">
        <v>24950</v>
      </c>
      <c r="B76" s="40" t="n">
        <v>18311</v>
      </c>
      <c r="C76" s="40" t="n">
        <v>-2578</v>
      </c>
      <c r="D76" s="40" t="n">
        <v>219100</v>
      </c>
      <c r="E76" s="41" t="n">
        <v>12.72</v>
      </c>
      <c r="F76" s="41" t="n">
        <v>1.65</v>
      </c>
      <c r="G76" s="42" t="n">
        <v>381</v>
      </c>
      <c r="H76" s="42" t="n">
        <v>-17</v>
      </c>
      <c r="I76" s="42" t="n">
        <v>120</v>
      </c>
      <c r="J76" s="43" t="n">
        <v>20.45</v>
      </c>
      <c r="K76" s="43" t="n">
        <v>736.75</v>
      </c>
      <c r="L76" s="44" t="n">
        <v>0.02</v>
      </c>
    </row>
    <row r="77" ht="13" customHeight="1">
      <c r="A77" s="6" t="n">
        <v>25000</v>
      </c>
      <c r="B77" s="40" t="n">
        <v>120855</v>
      </c>
      <c r="C77" s="40" t="n">
        <v>-12151</v>
      </c>
      <c r="D77" s="40" t="n">
        <v>1010370</v>
      </c>
      <c r="E77" s="41" t="n">
        <v>13.35</v>
      </c>
      <c r="F77" s="41" t="n">
        <v>1.55</v>
      </c>
      <c r="G77" s="42" t="n">
        <v>6132</v>
      </c>
      <c r="H77" s="42" t="n">
        <v>299</v>
      </c>
      <c r="I77" s="42" t="n">
        <v>3762</v>
      </c>
      <c r="J77" s="43" t="n">
        <v>20.22</v>
      </c>
      <c r="K77" s="43" t="n">
        <v>782</v>
      </c>
      <c r="L77" s="44" t="n">
        <v>0.05</v>
      </c>
    </row>
    <row r="78" ht="13" customHeight="1">
      <c r="A78" s="4" t="n">
        <v>25050</v>
      </c>
      <c r="B78" s="40" t="n">
        <v>19497</v>
      </c>
      <c r="C78" s="40" t="n">
        <v>-427</v>
      </c>
      <c r="D78" s="40" t="n">
        <v>147173</v>
      </c>
      <c r="E78" s="41" t="n">
        <v>13.9</v>
      </c>
      <c r="F78" s="41" t="n">
        <v>1.4</v>
      </c>
      <c r="G78" s="42" t="n">
        <v>280</v>
      </c>
      <c r="H78" s="42" t="n">
        <v>-30</v>
      </c>
      <c r="I78" s="42" t="n">
        <v>61</v>
      </c>
      <c r="J78" s="43" t="n">
        <v>22.17</v>
      </c>
      <c r="K78" s="43" t="n">
        <v>835.35</v>
      </c>
      <c r="L78" s="44" t="n">
        <v>0.01</v>
      </c>
    </row>
    <row r="79" ht="13" customHeight="1">
      <c r="A79" s="6" t="n">
        <v>25100</v>
      </c>
      <c r="B79" s="40" t="n">
        <v>43083</v>
      </c>
      <c r="C79" s="40" t="n">
        <v>-6142</v>
      </c>
      <c r="D79" s="40" t="n">
        <v>297141</v>
      </c>
      <c r="E79" s="41" t="n">
        <v>14.26</v>
      </c>
      <c r="F79" s="41" t="n">
        <v>1.15</v>
      </c>
      <c r="G79" s="42" t="n">
        <v>292</v>
      </c>
      <c r="H79" s="42" t="n">
        <v>-20</v>
      </c>
      <c r="I79" s="42" t="n">
        <v>79</v>
      </c>
      <c r="J79" s="43" t="n">
        <v>23.19</v>
      </c>
      <c r="K79" s="43" t="n">
        <v>885.35</v>
      </c>
      <c r="L79" s="44" t="n">
        <v>0.01</v>
      </c>
    </row>
    <row r="80" ht="13" customHeight="1">
      <c r="A80" s="4" t="n">
        <v>25150</v>
      </c>
      <c r="B80" s="40" t="n">
        <v>10169</v>
      </c>
      <c r="C80" s="40" t="n">
        <v>-812</v>
      </c>
      <c r="D80" s="40" t="n">
        <v>95071</v>
      </c>
      <c r="E80" s="41" t="n">
        <v>14.8</v>
      </c>
      <c r="F80" s="41" t="n">
        <v>1.05</v>
      </c>
      <c r="G80" s="42" t="n">
        <v>68</v>
      </c>
      <c r="H80" s="42" t="n">
        <v>-23</v>
      </c>
      <c r="I80" s="42" t="n">
        <v>35</v>
      </c>
      <c r="J80" s="43" t="n">
        <v>23.69</v>
      </c>
      <c r="K80" s="43" t="n">
        <v>933.6</v>
      </c>
      <c r="L80" s="44" t="n">
        <v>0.01</v>
      </c>
    </row>
    <row r="81" ht="13" customHeight="1">
      <c r="A81" s="6" t="n">
        <v>25200</v>
      </c>
      <c r="B81" s="40" t="n">
        <v>68930</v>
      </c>
      <c r="C81" s="40" t="n">
        <v>-11223</v>
      </c>
      <c r="D81" s="40" t="n">
        <v>315386</v>
      </c>
      <c r="E81" s="41" t="n">
        <v>15.21</v>
      </c>
      <c r="F81" s="41" t="n">
        <v>0.9</v>
      </c>
      <c r="G81" s="42" t="n">
        <v>761</v>
      </c>
      <c r="H81" s="42" t="n">
        <v>-41</v>
      </c>
      <c r="I81" s="42" t="n">
        <v>96</v>
      </c>
      <c r="J81" s="43" t="n">
        <v>25.04</v>
      </c>
      <c r="K81" s="43" t="n">
        <v>984.8</v>
      </c>
      <c r="L81" s="44" t="n">
        <v>0.01</v>
      </c>
    </row>
    <row r="82" ht="13" customHeight="1">
      <c r="A82" s="4" t="n">
        <v>25250</v>
      </c>
      <c r="B82" s="40" t="n">
        <v>14389</v>
      </c>
      <c r="C82" s="40" t="n">
        <v>-1525</v>
      </c>
      <c r="D82" s="40" t="n">
        <v>71815</v>
      </c>
      <c r="E82" s="41" t="n">
        <v>15.67</v>
      </c>
      <c r="F82" s="41" t="n">
        <v>0.8</v>
      </c>
      <c r="G82" s="42" t="n">
        <v>12</v>
      </c>
      <c r="H82" s="42" t="n">
        <v>1</v>
      </c>
      <c r="I82" s="42" t="n">
        <v>7</v>
      </c>
      <c r="J82" s="43" t="n">
        <v>28.78</v>
      </c>
      <c r="K82" s="43" t="n">
        <v>1045</v>
      </c>
      <c r="L82" s="44" t="n">
        <v>0</v>
      </c>
    </row>
    <row r="83" ht="13" customHeight="1">
      <c r="A83" s="6" t="n">
        <v>25300</v>
      </c>
      <c r="B83" s="40" t="n">
        <v>46774</v>
      </c>
      <c r="C83" s="40" t="n">
        <v>-9173</v>
      </c>
      <c r="D83" s="40" t="n">
        <v>266461</v>
      </c>
      <c r="E83" s="41" t="n">
        <v>16.22</v>
      </c>
      <c r="F83" s="41" t="n">
        <v>0.75</v>
      </c>
      <c r="G83" s="42" t="n">
        <v>116</v>
      </c>
      <c r="H83" s="42" t="n">
        <v>-37</v>
      </c>
      <c r="I83" s="42" t="n">
        <v>85</v>
      </c>
      <c r="J83" s="43" t="n">
        <v>25.69</v>
      </c>
      <c r="K83" s="43" t="n">
        <v>1080.8</v>
      </c>
      <c r="L83" s="44" t="n">
        <v>0</v>
      </c>
    </row>
    <row r="84" ht="13" customHeight="1">
      <c r="A84" s="4" t="n">
        <v>25350</v>
      </c>
      <c r="B84" s="40" t="n">
        <v>7624</v>
      </c>
      <c r="C84" s="40" t="n">
        <v>-389</v>
      </c>
      <c r="D84" s="40" t="n">
        <v>34673</v>
      </c>
      <c r="E84" s="41" t="n">
        <v>17</v>
      </c>
      <c r="F84" s="41" t="n">
        <v>0.8</v>
      </c>
      <c r="G84" s="42" t="n">
        <v>29</v>
      </c>
      <c r="H84" s="42" t="n">
        <v>-9</v>
      </c>
      <c r="I84" s="42" t="n">
        <v>16</v>
      </c>
      <c r="J84" s="43" t="n">
        <v>30.35</v>
      </c>
      <c r="K84" s="43" t="n">
        <v>1143.05</v>
      </c>
      <c r="L84" s="44" t="n">
        <v>0</v>
      </c>
    </row>
    <row r="85" ht="13" customHeight="1">
      <c r="A85" s="6" t="n">
        <v>25400</v>
      </c>
      <c r="B85" s="40" t="n">
        <v>42240</v>
      </c>
      <c r="C85" s="40" t="n">
        <v>-556</v>
      </c>
      <c r="D85" s="40" t="n">
        <v>160262</v>
      </c>
      <c r="E85" s="41" t="n">
        <v>17.53</v>
      </c>
      <c r="F85" s="41" t="n">
        <v>0.75</v>
      </c>
      <c r="G85" s="42" t="n">
        <v>139</v>
      </c>
      <c r="H85" s="42" t="n">
        <v>-15</v>
      </c>
      <c r="I85" s="42" t="n">
        <v>50</v>
      </c>
      <c r="J85" s="43" t="n">
        <v>27.48</v>
      </c>
      <c r="K85" s="43" t="n">
        <v>1180.55</v>
      </c>
      <c r="L85" s="44" t="n">
        <v>0</v>
      </c>
    </row>
    <row r="86" ht="13" customHeight="1">
      <c r="A86" s="4" t="n">
        <v>25450</v>
      </c>
      <c r="B86" s="40" t="n">
        <v>11154</v>
      </c>
      <c r="C86" s="40" t="n">
        <v>2681</v>
      </c>
      <c r="D86" s="40" t="n">
        <v>41383</v>
      </c>
      <c r="E86" s="41" t="n">
        <v>18.04</v>
      </c>
      <c r="F86" s="41" t="n">
        <v>0.7</v>
      </c>
      <c r="G86" s="42" t="n">
        <v>37</v>
      </c>
      <c r="H86" s="42" t="n">
        <v>-6</v>
      </c>
      <c r="I86" s="42" t="n">
        <v>14</v>
      </c>
      <c r="J86" s="43" t="n">
        <v>32</v>
      </c>
      <c r="K86" s="43" t="n">
        <v>1241.75</v>
      </c>
      <c r="L86" s="44" t="n">
        <v>0</v>
      </c>
    </row>
    <row r="87" ht="13" customHeight="1">
      <c r="A87" s="6" t="n">
        <v>25500</v>
      </c>
      <c r="B87" s="40" t="n">
        <v>91074</v>
      </c>
      <c r="C87" s="40" t="n">
        <v>-42636</v>
      </c>
      <c r="D87" s="40" t="n">
        <v>505190</v>
      </c>
      <c r="E87" s="41" t="n">
        <v>18.82</v>
      </c>
      <c r="F87" s="41" t="n">
        <v>0.75</v>
      </c>
      <c r="G87" s="42" t="n">
        <v>2091</v>
      </c>
      <c r="H87" s="42" t="n">
        <v>-258</v>
      </c>
      <c r="I87" s="42" t="n">
        <v>337</v>
      </c>
      <c r="J87" s="43" t="n">
        <v>31.26</v>
      </c>
      <c r="K87" s="43" t="n">
        <v>1286.05</v>
      </c>
      <c r="L87" s="44" t="n">
        <v>0.02</v>
      </c>
    </row>
    <row r="88" ht="13" customHeight="1">
      <c r="A88" s="4" t="n">
        <v>25550</v>
      </c>
      <c r="B88" s="40" t="n">
        <v>4908</v>
      </c>
      <c r="C88" s="40" t="n">
        <v>-2498</v>
      </c>
      <c r="D88" s="40" t="n">
        <v>18397</v>
      </c>
      <c r="E88" s="41" t="n">
        <v>19.32</v>
      </c>
      <c r="F88" s="41" t="n">
        <v>0.7</v>
      </c>
      <c r="G88" s="42" t="n">
        <v>36</v>
      </c>
      <c r="H88" s="42" t="n">
        <v>-11</v>
      </c>
      <c r="I88" s="42" t="n">
        <v>11</v>
      </c>
      <c r="J88" s="43" t="n">
        <v>33.16</v>
      </c>
      <c r="K88" s="43" t="n">
        <v>1339.05</v>
      </c>
      <c r="L88" s="44" t="n">
        <v>0.01</v>
      </c>
    </row>
    <row r="89" ht="13" customHeight="1">
      <c r="A89" s="6" t="n">
        <v>25600</v>
      </c>
      <c r="B89" s="40" t="n">
        <v>22725</v>
      </c>
      <c r="C89" s="40" t="n">
        <v>-10918</v>
      </c>
      <c r="D89" s="40" t="n">
        <v>96305</v>
      </c>
      <c r="E89" s="41" t="n">
        <v>19.64</v>
      </c>
      <c r="F89" s="41" t="n">
        <v>0.6</v>
      </c>
      <c r="G89" s="42" t="n">
        <v>24</v>
      </c>
      <c r="H89" s="42" t="n">
        <v>11</v>
      </c>
      <c r="I89" s="42" t="n">
        <v>16</v>
      </c>
      <c r="J89" s="43" t="n">
        <v>34.66</v>
      </c>
      <c r="K89" s="43" t="n">
        <v>1390.8</v>
      </c>
      <c r="L89" s="44" t="n">
        <v>0</v>
      </c>
    </row>
    <row r="90" ht="13" customHeight="1">
      <c r="A90" s="4" t="n">
        <v>25650</v>
      </c>
      <c r="B90" s="40" t="n">
        <v>5574</v>
      </c>
      <c r="C90" s="40" t="n">
        <v>-2393</v>
      </c>
      <c r="D90" s="40" t="n">
        <v>21482</v>
      </c>
      <c r="E90" s="41" t="n">
        <v>20.26</v>
      </c>
      <c r="F90" s="41" t="n">
        <v>0.6</v>
      </c>
      <c r="G90" s="42" t="n">
        <v>22</v>
      </c>
      <c r="H90" s="42" t="n">
        <v>0</v>
      </c>
      <c r="I90" s="42" t="n">
        <v>0</v>
      </c>
      <c r="J90" s="43" t="n"/>
      <c r="K90" s="43" t="n">
        <v>1596.45</v>
      </c>
      <c r="L90" s="44" t="n">
        <v>0</v>
      </c>
    </row>
    <row r="91" ht="13" customHeight="1">
      <c r="A91" s="6" t="n">
        <v>25700</v>
      </c>
      <c r="B91" s="40" t="n">
        <v>19220</v>
      </c>
      <c r="C91" s="40" t="n">
        <v>-6395</v>
      </c>
      <c r="D91" s="40" t="n">
        <v>61142</v>
      </c>
      <c r="E91" s="41" t="n">
        <v>21.05</v>
      </c>
      <c r="F91" s="41" t="n">
        <v>0.65</v>
      </c>
      <c r="G91" s="42" t="n">
        <v>12</v>
      </c>
      <c r="H91" s="42" t="n">
        <v>0</v>
      </c>
      <c r="I91" s="42" t="n">
        <v>0</v>
      </c>
      <c r="J91" s="43" t="n"/>
      <c r="K91" s="43" t="n">
        <v>1618.5</v>
      </c>
      <c r="L91" s="44" t="n">
        <v>0</v>
      </c>
    </row>
    <row r="92" ht="13" customHeight="1">
      <c r="A92" s="4" t="n">
        <v>25750</v>
      </c>
      <c r="B92" s="40" t="n">
        <v>3693</v>
      </c>
      <c r="C92" s="40" t="n">
        <v>-2268</v>
      </c>
      <c r="D92" s="40" t="n">
        <v>15714</v>
      </c>
      <c r="E92" s="41" t="n">
        <v>21.5</v>
      </c>
      <c r="F92" s="41" t="n">
        <v>0.6</v>
      </c>
      <c r="G92" s="42" t="n">
        <v>27</v>
      </c>
      <c r="H92" s="42" t="n">
        <v>-3</v>
      </c>
      <c r="I92" s="42" t="n">
        <v>3</v>
      </c>
      <c r="J92" s="43" t="n">
        <v>37.47</v>
      </c>
      <c r="K92" s="43" t="n">
        <v>1540.6</v>
      </c>
      <c r="L92" s="44" t="n">
        <v>0.01</v>
      </c>
    </row>
    <row r="93" ht="13" customHeight="1">
      <c r="A93" s="6" t="n">
        <v>25800</v>
      </c>
      <c r="B93" s="40" t="n">
        <v>9743</v>
      </c>
      <c r="C93" s="40" t="n">
        <v>-7092</v>
      </c>
      <c r="D93" s="40" t="n">
        <v>37761</v>
      </c>
      <c r="E93" s="41" t="n">
        <v>22.11</v>
      </c>
      <c r="F93" s="41" t="n">
        <v>0.6</v>
      </c>
      <c r="G93" s="42" t="n">
        <v>29</v>
      </c>
      <c r="H93" s="42" t="n">
        <v>-3</v>
      </c>
      <c r="I93" s="42" t="n">
        <v>19</v>
      </c>
      <c r="J93" s="43" t="n">
        <v>35.45</v>
      </c>
      <c r="K93" s="43" t="n">
        <v>1582.3</v>
      </c>
      <c r="L93" s="44" t="n">
        <v>0</v>
      </c>
    </row>
    <row r="94" ht="13" customHeight="1">
      <c r="A94" s="4" t="n">
        <v>25850</v>
      </c>
      <c r="B94" s="40" t="n">
        <v>2073</v>
      </c>
      <c r="C94" s="40" t="n">
        <v>-1310</v>
      </c>
      <c r="D94" s="40" t="n">
        <v>9710</v>
      </c>
      <c r="E94" s="41" t="n">
        <v>22.52</v>
      </c>
      <c r="F94" s="41" t="n">
        <v>0.55</v>
      </c>
      <c r="G94" s="42" t="n">
        <v>47</v>
      </c>
      <c r="H94" s="42" t="n">
        <v>-1</v>
      </c>
      <c r="I94" s="42" t="n">
        <v>1</v>
      </c>
      <c r="J94" s="43" t="n">
        <v>38.93</v>
      </c>
      <c r="K94" s="43" t="n">
        <v>1639.35</v>
      </c>
      <c r="L94" s="44" t="n">
        <v>0.02</v>
      </c>
    </row>
    <row r="95" ht="13" customHeight="1">
      <c r="A95" s="6" t="n">
        <v>25900</v>
      </c>
      <c r="B95" s="40" t="n">
        <v>10862</v>
      </c>
      <c r="C95" s="40" t="n">
        <v>-61</v>
      </c>
      <c r="D95" s="40" t="n">
        <v>19767</v>
      </c>
      <c r="E95" s="41" t="n">
        <v>22.91</v>
      </c>
      <c r="F95" s="41" t="n">
        <v>0.5</v>
      </c>
      <c r="G95" s="42" t="n">
        <v>6</v>
      </c>
      <c r="H95" s="42" t="n">
        <v>0</v>
      </c>
      <c r="I95" s="42" t="n">
        <v>0</v>
      </c>
      <c r="J95" s="43" t="n"/>
      <c r="K95" s="43" t="n">
        <v>1434.1</v>
      </c>
      <c r="L95" s="44" t="n">
        <v>0</v>
      </c>
    </row>
    <row r="96" ht="13" customHeight="1">
      <c r="A96" s="4" t="n">
        <v>25950</v>
      </c>
      <c r="B96" s="40" t="n">
        <v>1713</v>
      </c>
      <c r="C96" s="40" t="n">
        <v>-564</v>
      </c>
      <c r="D96" s="40" t="n">
        <v>2242</v>
      </c>
      <c r="E96" s="41" t="n">
        <v>23.73</v>
      </c>
      <c r="F96" s="41" t="n">
        <v>0.55</v>
      </c>
      <c r="G96" s="42" t="n">
        <v>123</v>
      </c>
      <c r="H96" s="42" t="n">
        <v>0</v>
      </c>
      <c r="I96" s="42" t="n">
        <v>0</v>
      </c>
      <c r="J96" s="43" t="n">
        <v>48.17</v>
      </c>
      <c r="K96" s="43" t="n">
        <v>1991</v>
      </c>
      <c r="L96" s="44" t="n">
        <v>0.07000000000000001</v>
      </c>
    </row>
    <row r="97" ht="13" customHeight="1">
      <c r="A97" s="6" t="n">
        <v>26000</v>
      </c>
      <c r="B97" s="40" t="n">
        <v>26688</v>
      </c>
      <c r="C97" s="40" t="n">
        <v>-12648</v>
      </c>
      <c r="D97" s="40" t="n">
        <v>119635</v>
      </c>
      <c r="E97" s="41" t="n">
        <v>24.33</v>
      </c>
      <c r="F97" s="41" t="n">
        <v>0.55</v>
      </c>
      <c r="G97" s="42" t="n">
        <v>1311</v>
      </c>
      <c r="H97" s="42" t="n">
        <v>-3</v>
      </c>
      <c r="I97" s="42" t="n">
        <v>75</v>
      </c>
      <c r="J97" s="43" t="n">
        <v>39.38</v>
      </c>
      <c r="K97" s="43" t="n">
        <v>1783.2</v>
      </c>
      <c r="L97" s="44" t="n">
        <v>0.05</v>
      </c>
    </row>
    <row r="98" ht="13" customHeight="1">
      <c r="A98" s="4" t="n">
        <v>26050</v>
      </c>
      <c r="B98" s="40" t="n">
        <v>1344</v>
      </c>
      <c r="C98" s="40" t="n">
        <v>-55</v>
      </c>
      <c r="D98" s="40" t="n">
        <v>3420</v>
      </c>
      <c r="E98" s="41" t="n">
        <v>24.69</v>
      </c>
      <c r="F98" s="41" t="n">
        <v>0.5</v>
      </c>
      <c r="G98" s="42" t="n">
        <v>91</v>
      </c>
      <c r="H98" s="42" t="n">
        <v>0</v>
      </c>
      <c r="I98" s="42" t="n">
        <v>2</v>
      </c>
      <c r="J98" s="43" t="n">
        <v>43.12</v>
      </c>
      <c r="K98" s="43" t="n">
        <v>1840.8</v>
      </c>
      <c r="L98" s="44" t="n">
        <v>0.07000000000000001</v>
      </c>
    </row>
    <row r="99" ht="13" customHeight="1">
      <c r="A99" s="6" t="n">
        <v>26100</v>
      </c>
      <c r="B99" s="40" t="n">
        <v>5311</v>
      </c>
      <c r="C99" s="40" t="n">
        <v>2651</v>
      </c>
      <c r="D99" s="40" t="n">
        <v>13398</v>
      </c>
      <c r="E99" s="41" t="n">
        <v>25.03</v>
      </c>
      <c r="F99" s="41" t="n">
        <v>0.45</v>
      </c>
      <c r="G99" s="42" t="n">
        <v>16</v>
      </c>
      <c r="H99" s="42" t="n">
        <v>-11</v>
      </c>
      <c r="I99" s="42" t="n">
        <v>19</v>
      </c>
      <c r="J99" s="43" t="n">
        <v>43.43</v>
      </c>
      <c r="K99" s="43" t="n">
        <v>1889.1</v>
      </c>
      <c r="L99" s="44" t="n">
        <v>0</v>
      </c>
    </row>
    <row r="100" ht="13" customHeight="1">
      <c r="A100" s="4" t="n">
        <v>26150</v>
      </c>
      <c r="B100" s="40" t="n">
        <v>1122</v>
      </c>
      <c r="C100" s="40" t="n">
        <v>220</v>
      </c>
      <c r="D100" s="40" t="n">
        <v>8200</v>
      </c>
      <c r="E100" s="41" t="n">
        <v>25.33</v>
      </c>
      <c r="F100" s="41" t="n">
        <v>0.4</v>
      </c>
      <c r="G100" s="42" t="n">
        <v>10</v>
      </c>
      <c r="H100" s="42" t="n">
        <v>-15</v>
      </c>
      <c r="I100" s="42" t="n">
        <v>17</v>
      </c>
      <c r="J100" s="43" t="n">
        <v>44.27</v>
      </c>
      <c r="K100" s="43" t="n">
        <v>1938.95</v>
      </c>
      <c r="L100" s="44" t="n">
        <v>0.01</v>
      </c>
    </row>
    <row r="101" ht="13" customHeight="1">
      <c r="A101" s="6" t="n">
        <v>26200</v>
      </c>
      <c r="B101" s="40" t="n">
        <v>3388</v>
      </c>
      <c r="C101" s="40" t="n">
        <v>90</v>
      </c>
      <c r="D101" s="40" t="n">
        <v>9510</v>
      </c>
      <c r="E101" s="41" t="n">
        <v>25.91</v>
      </c>
      <c r="F101" s="41" t="n">
        <v>0.4</v>
      </c>
      <c r="G101" s="42" t="n">
        <v>0</v>
      </c>
      <c r="H101" s="42" t="n">
        <v>0</v>
      </c>
      <c r="I101" s="42" t="n">
        <v>0</v>
      </c>
      <c r="J101" s="43" t="n"/>
      <c r="K101" s="43" t="n"/>
      <c r="L101" s="44" t="n">
        <v>0</v>
      </c>
    </row>
    <row r="102" ht="13" customHeight="1">
      <c r="A102" s="4" t="n">
        <v>26250</v>
      </c>
      <c r="B102" s="40" t="n">
        <v>2750</v>
      </c>
      <c r="C102" s="40" t="n">
        <v>491</v>
      </c>
      <c r="D102" s="40" t="n">
        <v>6649</v>
      </c>
      <c r="E102" s="41" t="n">
        <v>26.48</v>
      </c>
      <c r="F102" s="41" t="n">
        <v>0.4</v>
      </c>
      <c r="G102" s="42" t="n">
        <v>0</v>
      </c>
      <c r="H102" s="42" t="n">
        <v>0</v>
      </c>
      <c r="I102" s="42" t="n">
        <v>0</v>
      </c>
      <c r="J102" s="43" t="n"/>
      <c r="K102" s="43" t="n"/>
      <c r="L102" s="44" t="n">
        <v>0</v>
      </c>
    </row>
    <row r="103" ht="13" customHeight="1">
      <c r="A103" s="6" t="n">
        <v>26300</v>
      </c>
      <c r="B103" s="40" t="n">
        <v>22480</v>
      </c>
      <c r="C103" s="40" t="n">
        <v>3555</v>
      </c>
      <c r="D103" s="40" t="n">
        <v>37769</v>
      </c>
      <c r="E103" s="41" t="n">
        <v>27.05</v>
      </c>
      <c r="F103" s="41" t="n">
        <v>0.4</v>
      </c>
      <c r="G103" s="42" t="n">
        <v>8</v>
      </c>
      <c r="H103" s="42" t="n">
        <v>0</v>
      </c>
      <c r="I103" s="42" t="n">
        <v>0</v>
      </c>
      <c r="J103" s="43" t="n"/>
      <c r="K103" s="43" t="n">
        <v>2229.25</v>
      </c>
      <c r="L103" s="44" t="n">
        <v>0</v>
      </c>
    </row>
  </sheetData>
  <mergeCells count="4">
    <mergeCell ref="B2:L2"/>
    <mergeCell ref="G3:K3"/>
    <mergeCell ref="A1:M1"/>
    <mergeCell ref="B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</cols>
  <sheetData>
    <row r="1" ht="22" customHeight="1">
      <c r="A1" s="1" t="inlineStr">
        <is>
          <t>NSE FAO — Max Pain Analysis (Aggregate OI Pain by Strike)</t>
        </is>
      </c>
    </row>
    <row r="2" ht="28" customHeight="1">
      <c r="A2" s="14" t="inlineStr">
        <is>
          <t>Summary</t>
        </is>
      </c>
      <c r="B2" s="49" t="inlineStr">
        <is>
          <t>Jul 10 2026</t>
        </is>
      </c>
    </row>
    <row r="3" ht="14" customHeight="1">
      <c r="A3" s="50" t="inlineStr">
        <is>
          <t>Max Pain Strike</t>
        </is>
      </c>
      <c r="B3" s="51" t="n">
        <v>24200</v>
      </c>
    </row>
    <row r="4" ht="14" customHeight="1">
      <c r="A4" s="25" t="inlineStr">
        <is>
          <t>ATM Strike</t>
        </is>
      </c>
      <c r="B4" s="6" t="n">
        <v>24200</v>
      </c>
    </row>
    <row r="5" ht="14" customHeight="1">
      <c r="A5" s="25" t="inlineStr">
        <is>
          <t>Aggregate OI PCR</t>
        </is>
      </c>
      <c r="B5" s="52" t="n">
        <v>1.2726</v>
      </c>
    </row>
    <row r="6" ht="14" customHeight="1">
      <c r="A6" s="25" t="inlineStr">
        <is>
          <t>Total Call OI</t>
        </is>
      </c>
      <c r="B6" s="6" t="n">
        <v>2191199</v>
      </c>
    </row>
    <row r="7" ht="14" customHeight="1">
      <c r="A7" s="25" t="inlineStr">
        <is>
          <t>Total Put OI</t>
        </is>
      </c>
      <c r="B7" s="4" t="n">
        <v>2788546</v>
      </c>
    </row>
    <row r="9" ht="8" customHeight="1"/>
    <row r="10" ht="16" customHeight="1">
      <c r="A10" s="14" t="inlineStr">
        <is>
          <t>Per-Strike Pain Values by Date  (lower = more likely to be Max Pain)</t>
        </is>
      </c>
    </row>
    <row r="11" ht="28" customHeight="1">
      <c r="A11" s="39" t="inlineStr">
        <is>
          <t>Strike</t>
        </is>
      </c>
      <c r="B11" s="2" t="inlineStr">
        <is>
          <t>Jul 10 2026</t>
        </is>
      </c>
    </row>
    <row r="12" ht="13" customHeight="1">
      <c r="A12" s="4" t="n">
        <v>21400</v>
      </c>
      <c r="B12" s="4" t="n">
        <v>5725388800</v>
      </c>
    </row>
    <row r="13" ht="13" customHeight="1">
      <c r="A13" s="6" t="n">
        <v>21450</v>
      </c>
      <c r="B13" s="6" t="n">
        <v>5588207950</v>
      </c>
    </row>
    <row r="14" ht="13" customHeight="1">
      <c r="A14" s="4" t="n">
        <v>21500</v>
      </c>
      <c r="B14" s="4" t="n">
        <v>5451114800</v>
      </c>
    </row>
    <row r="15" ht="13" customHeight="1">
      <c r="A15" s="6" t="n">
        <v>21550</v>
      </c>
      <c r="B15" s="6" t="n">
        <v>5315594550</v>
      </c>
    </row>
    <row r="16" ht="13" customHeight="1">
      <c r="A16" s="4" t="n">
        <v>21600</v>
      </c>
      <c r="B16" s="4" t="n">
        <v>5180149950</v>
      </c>
    </row>
    <row r="17" ht="13" customHeight="1">
      <c r="A17" s="6" t="n">
        <v>21650</v>
      </c>
      <c r="B17" s="6" t="n">
        <v>5044982400</v>
      </c>
    </row>
    <row r="18" ht="13" customHeight="1">
      <c r="A18" s="4" t="n">
        <v>21700</v>
      </c>
      <c r="B18" s="4" t="n">
        <v>4909881950</v>
      </c>
    </row>
    <row r="19" ht="13" customHeight="1">
      <c r="A19" s="6" t="n">
        <v>21750</v>
      </c>
      <c r="B19" s="6" t="n">
        <v>4775043900</v>
      </c>
    </row>
    <row r="20" ht="13" customHeight="1">
      <c r="A20" s="4" t="n">
        <v>21800</v>
      </c>
      <c r="B20" s="4" t="n">
        <v>4640256950</v>
      </c>
    </row>
    <row r="21" ht="13" customHeight="1">
      <c r="A21" s="6" t="n">
        <v>21850</v>
      </c>
      <c r="B21" s="6" t="n">
        <v>4506148450</v>
      </c>
    </row>
    <row r="22" ht="13" customHeight="1">
      <c r="A22" s="4" t="n">
        <v>21900</v>
      </c>
      <c r="B22" s="4" t="n">
        <v>4372122950</v>
      </c>
    </row>
    <row r="23" ht="13" customHeight="1">
      <c r="A23" s="6" t="n">
        <v>21950</v>
      </c>
      <c r="B23" s="6" t="n">
        <v>4238354450</v>
      </c>
    </row>
    <row r="24" ht="13" customHeight="1">
      <c r="A24" s="4" t="n">
        <v>22000</v>
      </c>
      <c r="B24" s="4" t="n">
        <v>4104676000</v>
      </c>
    </row>
    <row r="25" ht="13" customHeight="1">
      <c r="A25" s="6" t="n">
        <v>22050</v>
      </c>
      <c r="B25" s="6" t="n">
        <v>3974269450</v>
      </c>
    </row>
    <row r="26" ht="13" customHeight="1">
      <c r="A26" s="4" t="n">
        <v>22100</v>
      </c>
      <c r="B26" s="4" t="n">
        <v>3844017450</v>
      </c>
    </row>
    <row r="27" ht="13" customHeight="1">
      <c r="A27" s="6" t="n">
        <v>22150</v>
      </c>
      <c r="B27" s="6" t="n">
        <v>3714167950</v>
      </c>
    </row>
    <row r="28" ht="13" customHeight="1">
      <c r="A28" s="4" t="n">
        <v>22200</v>
      </c>
      <c r="B28" s="4" t="n">
        <v>3584424300</v>
      </c>
    </row>
    <row r="29" ht="13" customHeight="1">
      <c r="A29" s="6" t="n">
        <v>22250</v>
      </c>
      <c r="B29" s="6" t="n">
        <v>3455690100</v>
      </c>
    </row>
    <row r="30" ht="13" customHeight="1">
      <c r="A30" s="4" t="n">
        <v>22300</v>
      </c>
      <c r="B30" s="4" t="n">
        <v>3327097500</v>
      </c>
    </row>
    <row r="31" ht="13" customHeight="1">
      <c r="A31" s="6" t="n">
        <v>22350</v>
      </c>
      <c r="B31" s="6" t="n">
        <v>3199533900</v>
      </c>
    </row>
    <row r="32" ht="13" customHeight="1">
      <c r="A32" s="4" t="n">
        <v>22400</v>
      </c>
      <c r="B32" s="4" t="n">
        <v>3072116700</v>
      </c>
    </row>
    <row r="33" ht="13" customHeight="1">
      <c r="A33" s="6" t="n">
        <v>22450</v>
      </c>
      <c r="B33" s="6" t="n">
        <v>2945350200</v>
      </c>
    </row>
    <row r="34" ht="13" customHeight="1">
      <c r="A34" s="4" t="n">
        <v>22500</v>
      </c>
      <c r="B34" s="4" t="n">
        <v>2818841650</v>
      </c>
    </row>
    <row r="35" ht="13" customHeight="1">
      <c r="A35" s="6" t="n">
        <v>22550</v>
      </c>
      <c r="B35" s="6" t="n">
        <v>2697775900</v>
      </c>
    </row>
    <row r="36" ht="13" customHeight="1">
      <c r="A36" s="4" t="n">
        <v>22600</v>
      </c>
      <c r="B36" s="4" t="n">
        <v>2577203300</v>
      </c>
    </row>
    <row r="37" ht="13" customHeight="1">
      <c r="A37" s="6" t="n">
        <v>22650</v>
      </c>
      <c r="B37" s="6" t="n">
        <v>2458223200</v>
      </c>
    </row>
    <row r="38" ht="13" customHeight="1">
      <c r="A38" s="4" t="n">
        <v>22700</v>
      </c>
      <c r="B38" s="4" t="n">
        <v>2339606350</v>
      </c>
    </row>
    <row r="39" ht="13" customHeight="1">
      <c r="A39" s="6" t="n">
        <v>22750</v>
      </c>
      <c r="B39" s="6" t="n">
        <v>2223322100</v>
      </c>
    </row>
    <row r="40" ht="13" customHeight="1">
      <c r="A40" s="4" t="n">
        <v>22800</v>
      </c>
      <c r="B40" s="4" t="n">
        <v>2107544150</v>
      </c>
    </row>
    <row r="41" ht="13" customHeight="1">
      <c r="A41" s="6" t="n">
        <v>22850</v>
      </c>
      <c r="B41" s="6" t="n">
        <v>1994757150</v>
      </c>
    </row>
    <row r="42" ht="13" customHeight="1">
      <c r="A42" s="4" t="n">
        <v>22900</v>
      </c>
      <c r="B42" s="4" t="n">
        <v>1882431150</v>
      </c>
    </row>
    <row r="43" ht="13" customHeight="1">
      <c r="A43" s="6" t="n">
        <v>22950</v>
      </c>
      <c r="B43" s="6" t="n">
        <v>1771835250</v>
      </c>
    </row>
    <row r="44" ht="13" customHeight="1">
      <c r="A44" s="4" t="n">
        <v>23000</v>
      </c>
      <c r="B44" s="4" t="n">
        <v>1661736850</v>
      </c>
    </row>
    <row r="45" ht="13" customHeight="1">
      <c r="A45" s="6" t="n">
        <v>23050</v>
      </c>
      <c r="B45" s="6" t="n">
        <v>1561131850</v>
      </c>
    </row>
    <row r="46" ht="13" customHeight="1">
      <c r="A46" s="4" t="n">
        <v>23100</v>
      </c>
      <c r="B46" s="4" t="n">
        <v>1461152700</v>
      </c>
    </row>
    <row r="47" ht="13" customHeight="1">
      <c r="A47" s="6" t="n">
        <v>23150</v>
      </c>
      <c r="B47" s="6" t="n">
        <v>1363282750</v>
      </c>
    </row>
    <row r="48" ht="13" customHeight="1">
      <c r="A48" s="4" t="n">
        <v>23200</v>
      </c>
      <c r="B48" s="4" t="n">
        <v>1266098800</v>
      </c>
    </row>
    <row r="49" ht="13" customHeight="1">
      <c r="A49" s="6" t="n">
        <v>23250</v>
      </c>
      <c r="B49" s="6" t="n">
        <v>1173205100</v>
      </c>
    </row>
    <row r="50" ht="13" customHeight="1">
      <c r="A50" s="4" t="n">
        <v>23300</v>
      </c>
      <c r="B50" s="4" t="n">
        <v>1081490950</v>
      </c>
    </row>
    <row r="51" ht="13" customHeight="1">
      <c r="A51" s="6" t="n">
        <v>23350</v>
      </c>
      <c r="B51" s="6" t="n">
        <v>994103150</v>
      </c>
    </row>
    <row r="52" ht="13" customHeight="1">
      <c r="A52" s="4" t="n">
        <v>23400</v>
      </c>
      <c r="B52" s="4" t="n">
        <v>907649550</v>
      </c>
    </row>
    <row r="53" ht="13" customHeight="1">
      <c r="A53" s="6" t="n">
        <v>23450</v>
      </c>
      <c r="B53" s="6" t="n">
        <v>824164000</v>
      </c>
    </row>
    <row r="54" ht="13" customHeight="1">
      <c r="A54" s="4" t="n">
        <v>23500</v>
      </c>
      <c r="B54" s="4" t="n">
        <v>741822900</v>
      </c>
    </row>
    <row r="55" ht="13" customHeight="1">
      <c r="A55" s="6" t="n">
        <v>23550</v>
      </c>
      <c r="B55" s="6" t="n">
        <v>667338250</v>
      </c>
    </row>
    <row r="56" ht="13" customHeight="1">
      <c r="A56" s="4" t="n">
        <v>23600</v>
      </c>
      <c r="B56" s="4" t="n">
        <v>594477100</v>
      </c>
    </row>
    <row r="57" ht="13" customHeight="1">
      <c r="A57" s="6" t="n">
        <v>23650</v>
      </c>
      <c r="B57" s="6" t="n">
        <v>526953950</v>
      </c>
    </row>
    <row r="58" ht="13" customHeight="1">
      <c r="A58" s="4" t="n">
        <v>23700</v>
      </c>
      <c r="B58" s="4" t="n">
        <v>461362600</v>
      </c>
    </row>
    <row r="59" ht="13" customHeight="1">
      <c r="A59" s="6" t="n">
        <v>23750</v>
      </c>
      <c r="B59" s="6" t="n">
        <v>401428300</v>
      </c>
    </row>
    <row r="60" ht="13" customHeight="1">
      <c r="A60" s="4" t="n">
        <v>23800</v>
      </c>
      <c r="B60" s="4" t="n">
        <v>344240150</v>
      </c>
    </row>
    <row r="61" ht="13" customHeight="1">
      <c r="A61" s="6" t="n">
        <v>23850</v>
      </c>
      <c r="B61" s="6" t="n">
        <v>294274450</v>
      </c>
    </row>
    <row r="62" ht="13" customHeight="1">
      <c r="A62" s="4" t="n">
        <v>23900</v>
      </c>
      <c r="B62" s="4" t="n">
        <v>247086500</v>
      </c>
    </row>
    <row r="63" ht="13" customHeight="1">
      <c r="A63" s="6" t="n">
        <v>23950</v>
      </c>
      <c r="B63" s="6" t="n">
        <v>205617650</v>
      </c>
    </row>
    <row r="64" ht="13" customHeight="1">
      <c r="A64" s="4" t="n">
        <v>24000</v>
      </c>
      <c r="B64" s="4" t="n">
        <v>167305050</v>
      </c>
    </row>
    <row r="65" ht="13" customHeight="1">
      <c r="A65" s="6" t="n">
        <v>24050</v>
      </c>
      <c r="B65" s="6" t="n">
        <v>139599300</v>
      </c>
    </row>
    <row r="66" ht="13" customHeight="1">
      <c r="A66" s="4" t="n">
        <v>24100</v>
      </c>
      <c r="B66" s="4" t="n">
        <v>115198300</v>
      </c>
    </row>
    <row r="67" ht="13" customHeight="1">
      <c r="A67" s="6" t="n">
        <v>24150</v>
      </c>
      <c r="B67" s="6" t="n">
        <v>99095850</v>
      </c>
    </row>
    <row r="68" ht="13" customHeight="1">
      <c r="A68" s="4" t="n">
        <v>24200</v>
      </c>
      <c r="B68" s="51" t="n">
        <v>92523000</v>
      </c>
    </row>
    <row r="69" ht="13" customHeight="1">
      <c r="A69" s="6" t="n">
        <v>24250</v>
      </c>
      <c r="B69" s="6" t="n">
        <v>101104550</v>
      </c>
    </row>
    <row r="70" ht="13" customHeight="1">
      <c r="A70" s="4" t="n">
        <v>24300</v>
      </c>
      <c r="B70" s="4" t="n">
        <v>116698900</v>
      </c>
    </row>
    <row r="71" ht="13" customHeight="1">
      <c r="A71" s="6" t="n">
        <v>24350</v>
      </c>
      <c r="B71" s="6" t="n">
        <v>141413300</v>
      </c>
    </row>
    <row r="72" ht="13" customHeight="1">
      <c r="A72" s="4" t="n">
        <v>24400</v>
      </c>
      <c r="B72" s="4" t="n">
        <v>168810150</v>
      </c>
    </row>
    <row r="73" ht="13" customHeight="1">
      <c r="A73" s="6" t="n">
        <v>24450</v>
      </c>
      <c r="B73" s="6" t="n">
        <v>202082250</v>
      </c>
    </row>
    <row r="74" ht="13" customHeight="1">
      <c r="A74" s="4" t="n">
        <v>24500</v>
      </c>
      <c r="B74" s="4" t="n">
        <v>238199950</v>
      </c>
    </row>
    <row r="75" ht="13" customHeight="1">
      <c r="A75" s="6" t="n">
        <v>24550</v>
      </c>
      <c r="B75" s="6" t="n">
        <v>287776050</v>
      </c>
    </row>
    <row r="76" ht="13" customHeight="1">
      <c r="A76" s="4" t="n">
        <v>24600</v>
      </c>
      <c r="B76" s="4" t="n">
        <v>339912700</v>
      </c>
    </row>
    <row r="77" ht="13" customHeight="1">
      <c r="A77" s="6" t="n">
        <v>24650</v>
      </c>
      <c r="B77" s="6" t="n">
        <v>398383150</v>
      </c>
    </row>
    <row r="78" ht="13" customHeight="1">
      <c r="A78" s="4" t="n">
        <v>24700</v>
      </c>
      <c r="B78" s="4" t="n">
        <v>459429150</v>
      </c>
    </row>
    <row r="79" ht="13" customHeight="1">
      <c r="A79" s="6" t="n">
        <v>24750</v>
      </c>
      <c r="B79" s="6" t="n">
        <v>527092250</v>
      </c>
    </row>
    <row r="80" ht="13" customHeight="1">
      <c r="A80" s="4" t="n">
        <v>24800</v>
      </c>
      <c r="B80" s="4" t="n">
        <v>596199000</v>
      </c>
    </row>
    <row r="81" ht="13" customHeight="1">
      <c r="A81" s="6" t="n">
        <v>24850</v>
      </c>
      <c r="B81" s="6" t="n">
        <v>669837200</v>
      </c>
    </row>
    <row r="82" ht="13" customHeight="1">
      <c r="A82" s="4" t="n">
        <v>24900</v>
      </c>
      <c r="B82" s="4" t="n">
        <v>744444200</v>
      </c>
    </row>
    <row r="83" ht="13" customHeight="1">
      <c r="A83" s="6" t="n">
        <v>24950</v>
      </c>
      <c r="B83" s="6" t="n">
        <v>821514450</v>
      </c>
    </row>
    <row r="84" ht="13" customHeight="1">
      <c r="A84" s="4" t="n">
        <v>25000</v>
      </c>
      <c r="B84" s="4" t="n">
        <v>899519300</v>
      </c>
    </row>
    <row r="85" ht="13" customHeight="1">
      <c r="A85" s="6" t="n">
        <v>25050</v>
      </c>
      <c r="B85" s="6" t="n">
        <v>983873500</v>
      </c>
    </row>
    <row r="86" ht="13" customHeight="1">
      <c r="A86" s="4" t="n">
        <v>25100</v>
      </c>
      <c r="B86" s="4" t="n">
        <v>1069216550</v>
      </c>
    </row>
    <row r="87" ht="13" customHeight="1">
      <c r="A87" s="6" t="n">
        <v>25150</v>
      </c>
      <c r="B87" s="6" t="n">
        <v>1156728350</v>
      </c>
    </row>
    <row r="88" ht="13" customHeight="1">
      <c r="A88" s="4" t="n">
        <v>25200</v>
      </c>
      <c r="B88" s="4" t="n">
        <v>1244752000</v>
      </c>
    </row>
    <row r="89" ht="13" customHeight="1">
      <c r="A89" s="6" t="n">
        <v>25250</v>
      </c>
      <c r="B89" s="6" t="n">
        <v>1336260200</v>
      </c>
    </row>
    <row r="90" ht="13" customHeight="1">
      <c r="A90" s="4" t="n">
        <v>25300</v>
      </c>
      <c r="B90" s="4" t="n">
        <v>1428488450</v>
      </c>
    </row>
    <row r="91" ht="13" customHeight="1">
      <c r="A91" s="6" t="n">
        <v>25350</v>
      </c>
      <c r="B91" s="6" t="n">
        <v>1523061200</v>
      </c>
    </row>
    <row r="92" ht="13" customHeight="1">
      <c r="A92" s="4" t="n">
        <v>25400</v>
      </c>
      <c r="B92" s="4" t="n">
        <v>1618016600</v>
      </c>
    </row>
    <row r="93" ht="13" customHeight="1">
      <c r="A93" s="6" t="n">
        <v>25450</v>
      </c>
      <c r="B93" s="6" t="n">
        <v>1715090950</v>
      </c>
    </row>
    <row r="94" ht="13" customHeight="1">
      <c r="A94" s="4" t="n">
        <v>25500</v>
      </c>
      <c r="B94" s="4" t="n">
        <v>1812724850</v>
      </c>
    </row>
    <row r="95" ht="13" customHeight="1">
      <c r="A95" s="6" t="n">
        <v>25550</v>
      </c>
      <c r="B95" s="6" t="n">
        <v>1915017000</v>
      </c>
    </row>
    <row r="96" ht="13" customHeight="1">
      <c r="A96" s="4" t="n">
        <v>25600</v>
      </c>
      <c r="B96" s="4" t="n">
        <v>2017556350</v>
      </c>
    </row>
    <row r="97" ht="13" customHeight="1">
      <c r="A97" s="6" t="n">
        <v>25650</v>
      </c>
      <c r="B97" s="6" t="n">
        <v>2121233150</v>
      </c>
    </row>
    <row r="98" ht="13" customHeight="1">
      <c r="A98" s="4" t="n">
        <v>25700</v>
      </c>
      <c r="B98" s="4" t="n">
        <v>2225189750</v>
      </c>
    </row>
    <row r="99" ht="13" customHeight="1">
      <c r="A99" s="6" t="n">
        <v>25750</v>
      </c>
      <c r="B99" s="6" t="n">
        <v>2330107950</v>
      </c>
    </row>
    <row r="100" ht="13" customHeight="1">
      <c r="A100" s="4" t="n">
        <v>25800</v>
      </c>
      <c r="B100" s="4" t="n">
        <v>2435212150</v>
      </c>
    </row>
    <row r="101" ht="13" customHeight="1">
      <c r="A101" s="6" t="n">
        <v>25850</v>
      </c>
      <c r="B101" s="6" t="n">
        <v>2540804950</v>
      </c>
    </row>
    <row r="102" ht="13" customHeight="1">
      <c r="A102" s="4" t="n">
        <v>25900</v>
      </c>
      <c r="B102" s="4" t="n">
        <v>2646503750</v>
      </c>
    </row>
    <row r="103" ht="13" customHeight="1">
      <c r="A103" s="6" t="n">
        <v>25950</v>
      </c>
      <c r="B103" s="6" t="n">
        <v>2752745950</v>
      </c>
    </row>
    <row r="104" ht="13" customHeight="1">
      <c r="A104" s="4" t="n">
        <v>26000</v>
      </c>
      <c r="B104" s="4" t="n">
        <v>2859079950</v>
      </c>
    </row>
    <row r="105" ht="13" customHeight="1">
      <c r="A105" s="6" t="n">
        <v>26050</v>
      </c>
      <c r="B105" s="6" t="n">
        <v>2966813900</v>
      </c>
    </row>
    <row r="106" ht="13" customHeight="1">
      <c r="A106" s="4" t="n">
        <v>26100</v>
      </c>
      <c r="B106" s="4" t="n">
        <v>3074619600</v>
      </c>
    </row>
    <row r="107" ht="13" customHeight="1">
      <c r="A107" s="6" t="n">
        <v>26150</v>
      </c>
      <c r="B107" s="6" t="n">
        <v>3182691650</v>
      </c>
    </row>
    <row r="108" ht="13" customHeight="1">
      <c r="A108" s="4" t="n">
        <v>26200</v>
      </c>
      <c r="B108" s="4" t="n">
        <v>3290820300</v>
      </c>
    </row>
    <row r="109" ht="13" customHeight="1">
      <c r="A109" s="6" t="n">
        <v>26250</v>
      </c>
      <c r="B109" s="6" t="n">
        <v>3399118350</v>
      </c>
    </row>
    <row r="110" ht="13" customHeight="1">
      <c r="A110" s="4" t="n">
        <v>26300</v>
      </c>
      <c r="B110" s="4" t="n">
        <v>3507553900</v>
      </c>
    </row>
  </sheetData>
  <mergeCells count="2">
    <mergeCell ref="A10:L10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" customWidth="1" min="11" max="11"/>
  </cols>
  <sheetData>
    <row r="1" ht="22" customHeight="1">
      <c r="A1" s="1" t="inlineStr">
        <is>
          <t>NSE FAO — OI Walls: Call Resistance &amp; Put Support (Top 10 Strikes)</t>
        </is>
      </c>
    </row>
    <row r="2" ht="18" customHeight="1">
      <c r="A2" s="19" t="inlineStr">
        <is>
          <t>Jul 10 2026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</row>
    <row r="3" ht="16" customHeight="1">
      <c r="A3" s="8" t="inlineStr">
        <is>
          <t>⬆ CALL WALL (Resistance)</t>
        </is>
      </c>
      <c r="B3" s="9" t="n"/>
      <c r="C3" s="9" t="n"/>
      <c r="D3" s="9" t="n"/>
      <c r="E3" s="9" t="n"/>
      <c r="F3" s="10" t="inlineStr">
        <is>
          <t>⬇ PUT WALL (Support)</t>
        </is>
      </c>
      <c r="G3" s="11" t="n"/>
      <c r="H3" s="11" t="n"/>
      <c r="I3" s="11" t="n"/>
      <c r="J3" s="11" t="n"/>
    </row>
    <row r="4" ht="28" customHeight="1">
      <c r="A4" s="12" t="inlineStr">
        <is>
          <t>Strike</t>
        </is>
      </c>
      <c r="B4" s="12" t="inlineStr">
        <is>
          <t>Call OI</t>
        </is>
      </c>
      <c r="C4" s="12" t="inlineStr">
        <is>
          <t>Δ Call OI</t>
        </is>
      </c>
      <c r="D4" s="12" t="inlineStr">
        <is>
          <t>Call Vol</t>
        </is>
      </c>
      <c r="E4" s="12" t="inlineStr">
        <is>
          <t>% of Total Call OI</t>
        </is>
      </c>
      <c r="F4" s="13" t="inlineStr">
        <is>
          <t>Strike</t>
        </is>
      </c>
      <c r="G4" s="13" t="inlineStr">
        <is>
          <t>Put OI</t>
        </is>
      </c>
      <c r="H4" s="13" t="inlineStr">
        <is>
          <t>Δ Put OI</t>
        </is>
      </c>
      <c r="I4" s="13" t="inlineStr">
        <is>
          <t>Put Vol</t>
        </is>
      </c>
      <c r="J4" s="13" t="inlineStr">
        <is>
          <t>% of Total Put OI</t>
        </is>
      </c>
    </row>
    <row r="5" ht="14" customHeight="1">
      <c r="A5" s="40" t="n">
        <v>24500</v>
      </c>
      <c r="B5" s="40" t="n">
        <v>216461</v>
      </c>
      <c r="C5" s="53" t="n">
        <v>6715</v>
      </c>
      <c r="D5" s="40" t="n">
        <v>3050915</v>
      </c>
      <c r="E5" s="54" t="n">
        <v>0.0988</v>
      </c>
      <c r="F5" s="42" t="n">
        <v>23000</v>
      </c>
      <c r="G5" s="42" t="n">
        <v>188373</v>
      </c>
      <c r="H5" s="55" t="n">
        <v>61076</v>
      </c>
      <c r="I5" s="42" t="n">
        <v>1006753</v>
      </c>
      <c r="J5" s="56" t="n">
        <v>0.06759999999999999</v>
      </c>
    </row>
    <row r="6" ht="14" customHeight="1">
      <c r="A6" s="40" t="n">
        <v>24200</v>
      </c>
      <c r="B6" s="40" t="n">
        <v>144699</v>
      </c>
      <c r="C6" s="53" t="n">
        <v>6689</v>
      </c>
      <c r="D6" s="40" t="n">
        <v>7567286</v>
      </c>
      <c r="E6" s="54" t="n">
        <v>0.066</v>
      </c>
      <c r="F6" s="42" t="n">
        <v>24000</v>
      </c>
      <c r="G6" s="42" t="n">
        <v>161957</v>
      </c>
      <c r="H6" s="55" t="n">
        <v>68949</v>
      </c>
      <c r="I6" s="42" t="n">
        <v>2872110</v>
      </c>
      <c r="J6" s="56" t="n">
        <v>0.0581</v>
      </c>
    </row>
    <row r="7" ht="14" customHeight="1">
      <c r="A7" s="40" t="n">
        <v>24300</v>
      </c>
      <c r="B7" s="40" t="n">
        <v>144630</v>
      </c>
      <c r="C7" s="53" t="n">
        <v>11664</v>
      </c>
      <c r="D7" s="40" t="n">
        <v>3822136</v>
      </c>
      <c r="E7" s="54" t="n">
        <v>0.066</v>
      </c>
      <c r="F7" s="42" t="n">
        <v>24200</v>
      </c>
      <c r="G7" s="42" t="n">
        <v>158389</v>
      </c>
      <c r="H7" s="55" t="n">
        <v>115617</v>
      </c>
      <c r="I7" s="42" t="n">
        <v>6379639</v>
      </c>
      <c r="J7" s="56" t="n">
        <v>0.0568</v>
      </c>
    </row>
    <row r="8" ht="14" customHeight="1">
      <c r="A8" s="40" t="n">
        <v>24700</v>
      </c>
      <c r="B8" s="40" t="n">
        <v>129877</v>
      </c>
      <c r="C8" s="53" t="n">
        <v>13240</v>
      </c>
      <c r="D8" s="40" t="n">
        <v>1035498</v>
      </c>
      <c r="E8" s="54" t="n">
        <v>0.0593</v>
      </c>
      <c r="F8" s="42" t="n">
        <v>23500</v>
      </c>
      <c r="G8" s="42" t="n">
        <v>153169</v>
      </c>
      <c r="H8" s="55" t="n">
        <v>26855</v>
      </c>
      <c r="I8" s="42" t="n">
        <v>1012131</v>
      </c>
      <c r="J8" s="56" t="n">
        <v>0.0549</v>
      </c>
    </row>
    <row r="9" ht="14" customHeight="1">
      <c r="A9" s="40" t="n">
        <v>25000</v>
      </c>
      <c r="B9" s="40" t="n">
        <v>120855</v>
      </c>
      <c r="C9" s="53" t="n">
        <v>-12151</v>
      </c>
      <c r="D9" s="40" t="n">
        <v>1010370</v>
      </c>
      <c r="E9" s="54" t="n">
        <v>0.0552</v>
      </c>
      <c r="F9" s="42" t="n">
        <v>23800</v>
      </c>
      <c r="G9" s="42" t="n">
        <v>135685</v>
      </c>
      <c r="H9" s="55" t="n">
        <v>35681</v>
      </c>
      <c r="I9" s="42" t="n">
        <v>1528900</v>
      </c>
      <c r="J9" s="56" t="n">
        <v>0.0487</v>
      </c>
    </row>
    <row r="10" ht="14" customHeight="1">
      <c r="A10" s="40" t="n">
        <v>24600</v>
      </c>
      <c r="B10" s="40" t="n">
        <v>120077</v>
      </c>
      <c r="C10" s="53" t="n">
        <v>29718</v>
      </c>
      <c r="D10" s="40" t="n">
        <v>1387306</v>
      </c>
      <c r="E10" s="54" t="n">
        <v>0.0548</v>
      </c>
      <c r="F10" s="42" t="n">
        <v>24100</v>
      </c>
      <c r="G10" s="42" t="n">
        <v>122920</v>
      </c>
      <c r="H10" s="55" t="n">
        <v>81979</v>
      </c>
      <c r="I10" s="42" t="n">
        <v>3671401</v>
      </c>
      <c r="J10" s="56" t="n">
        <v>0.0441</v>
      </c>
    </row>
    <row r="11" ht="14" customHeight="1">
      <c r="A11" s="40" t="n">
        <v>24400</v>
      </c>
      <c r="B11" s="40" t="n">
        <v>99528</v>
      </c>
      <c r="C11" s="53" t="n">
        <v>-2203</v>
      </c>
      <c r="D11" s="40" t="n">
        <v>2437591</v>
      </c>
      <c r="E11" s="54" t="n">
        <v>0.0454</v>
      </c>
      <c r="F11" s="42" t="n">
        <v>24150</v>
      </c>
      <c r="G11" s="42" t="n">
        <v>121695</v>
      </c>
      <c r="H11" s="55" t="n">
        <v>110035</v>
      </c>
      <c r="I11" s="42" t="n">
        <v>4539113</v>
      </c>
      <c r="J11" s="56" t="n">
        <v>0.0436</v>
      </c>
    </row>
    <row r="12" ht="14" customHeight="1">
      <c r="A12" s="40" t="n">
        <v>25500</v>
      </c>
      <c r="B12" s="40" t="n">
        <v>91074</v>
      </c>
      <c r="C12" s="53" t="n">
        <v>-42636</v>
      </c>
      <c r="D12" s="40" t="n">
        <v>505190</v>
      </c>
      <c r="E12" s="54" t="n">
        <v>0.0416</v>
      </c>
      <c r="F12" s="42" t="n">
        <v>23700</v>
      </c>
      <c r="G12" s="42" t="n">
        <v>109100</v>
      </c>
      <c r="H12" s="55" t="n">
        <v>33298</v>
      </c>
      <c r="I12" s="42" t="n">
        <v>821102</v>
      </c>
      <c r="J12" s="56" t="n">
        <v>0.0391</v>
      </c>
    </row>
    <row r="13" ht="14" customHeight="1">
      <c r="A13" s="40" t="n">
        <v>24800</v>
      </c>
      <c r="B13" s="40" t="n">
        <v>88640</v>
      </c>
      <c r="C13" s="53" t="n">
        <v>-92</v>
      </c>
      <c r="D13" s="40" t="n">
        <v>1151260</v>
      </c>
      <c r="E13" s="54" t="n">
        <v>0.0405</v>
      </c>
      <c r="F13" s="42" t="n">
        <v>22500</v>
      </c>
      <c r="G13" s="42" t="n">
        <v>108674</v>
      </c>
      <c r="H13" s="55" t="n">
        <v>13919</v>
      </c>
      <c r="I13" s="42" t="n">
        <v>550357</v>
      </c>
      <c r="J13" s="56" t="n">
        <v>0.039</v>
      </c>
    </row>
    <row r="14" ht="14" customHeight="1">
      <c r="A14" s="40" t="n">
        <v>24250</v>
      </c>
      <c r="B14" s="40" t="n">
        <v>86704</v>
      </c>
      <c r="C14" s="53" t="n">
        <v>25357</v>
      </c>
      <c r="D14" s="40" t="n">
        <v>3765898</v>
      </c>
      <c r="E14" s="54" t="n">
        <v>0.0396</v>
      </c>
      <c r="F14" s="42" t="n">
        <v>23600</v>
      </c>
      <c r="G14" s="42" t="n">
        <v>105077</v>
      </c>
      <c r="H14" s="55" t="n">
        <v>-25629</v>
      </c>
      <c r="I14" s="42" t="n">
        <v>833726</v>
      </c>
      <c r="J14" s="56" t="n">
        <v>0.0377</v>
      </c>
    </row>
  </sheetData>
  <mergeCells count="4">
    <mergeCell ref="A3:E3"/>
    <mergeCell ref="A1:K1"/>
    <mergeCell ref="F3:J3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2" customWidth="1" min="5" max="5"/>
  </cols>
  <sheetData>
    <row r="1" ht="22" customHeight="1">
      <c r="A1" s="1" t="inlineStr">
        <is>
          <t>NSE FAO — Implied Volatility Skew by Strike</t>
        </is>
      </c>
    </row>
    <row r="2" ht="16" customHeight="1">
      <c r="A2" s="19" t="inlineStr">
        <is>
          <t>Strike</t>
        </is>
      </c>
      <c r="B2" s="19" t="inlineStr">
        <is>
          <t>Jul 10 2026</t>
        </is>
      </c>
      <c r="C2" s="20" t="n"/>
      <c r="D2" s="20" t="n"/>
      <c r="E2" s="20" t="n"/>
    </row>
    <row r="3" ht="28" customHeight="1">
      <c r="A3" s="37" t="inlineStr"/>
      <c r="B3" s="12" t="inlineStr">
        <is>
          <t>Call IV</t>
        </is>
      </c>
      <c r="C3" s="13" t="inlineStr">
        <is>
          <t>Put IV</t>
        </is>
      </c>
      <c r="D3" s="57" t="inlineStr">
        <is>
          <t>Put−Call Skew</t>
        </is>
      </c>
      <c r="E3" s="58" t="n"/>
    </row>
    <row r="4" ht="13" customHeight="1">
      <c r="A4" s="4" t="n">
        <v>21400</v>
      </c>
      <c r="B4" s="41" t="n"/>
      <c r="C4" s="43" t="n">
        <v>42.32</v>
      </c>
      <c r="D4" s="59" t="n"/>
      <c r="E4" s="26" t="n"/>
    </row>
    <row r="5" ht="13" customHeight="1">
      <c r="A5" s="6" t="n">
        <v>21450</v>
      </c>
      <c r="B5" s="41" t="n"/>
      <c r="C5" s="43" t="n">
        <v>42.34</v>
      </c>
      <c r="D5" s="59" t="n"/>
      <c r="E5" s="27" t="n"/>
    </row>
    <row r="6" ht="13" customHeight="1">
      <c r="A6" s="4" t="n">
        <v>21500</v>
      </c>
      <c r="B6" s="41" t="n"/>
      <c r="C6" s="43" t="n">
        <v>41.38</v>
      </c>
      <c r="D6" s="59" t="n"/>
      <c r="E6" s="26" t="n"/>
    </row>
    <row r="7" ht="13" customHeight="1">
      <c r="A7" s="6" t="n">
        <v>21550</v>
      </c>
      <c r="B7" s="41" t="n"/>
      <c r="C7" s="43" t="n">
        <v>40.65</v>
      </c>
      <c r="D7" s="59" t="n"/>
      <c r="E7" s="27" t="n"/>
    </row>
    <row r="8" ht="13" customHeight="1">
      <c r="A8" s="4" t="n">
        <v>21600</v>
      </c>
      <c r="B8" s="41" t="n"/>
      <c r="C8" s="43" t="n">
        <v>40.36</v>
      </c>
      <c r="D8" s="59" t="n"/>
      <c r="E8" s="26" t="n"/>
    </row>
    <row r="9" ht="13" customHeight="1">
      <c r="A9" s="6" t="n">
        <v>21650</v>
      </c>
      <c r="B9" s="41" t="n"/>
      <c r="C9" s="43" t="n">
        <v>39.63</v>
      </c>
      <c r="D9" s="59" t="n"/>
      <c r="E9" s="27" t="n"/>
    </row>
    <row r="10" ht="13" customHeight="1">
      <c r="A10" s="4" t="n">
        <v>21700</v>
      </c>
      <c r="B10" s="41" t="n"/>
      <c r="C10" s="43" t="n">
        <v>39.1</v>
      </c>
      <c r="D10" s="59" t="n"/>
      <c r="E10" s="26" t="n"/>
    </row>
    <row r="11" ht="13" customHeight="1">
      <c r="A11" s="6" t="n">
        <v>21750</v>
      </c>
      <c r="B11" s="41" t="n"/>
      <c r="C11" s="43" t="n">
        <v>38.55</v>
      </c>
      <c r="D11" s="59" t="n"/>
      <c r="E11" s="27" t="n"/>
    </row>
    <row r="12" ht="13" customHeight="1">
      <c r="A12" s="4" t="n">
        <v>21800</v>
      </c>
      <c r="B12" s="41" t="n"/>
      <c r="C12" s="43" t="n">
        <v>37.81</v>
      </c>
      <c r="D12" s="59" t="n"/>
      <c r="E12" s="26" t="n"/>
    </row>
    <row r="13" ht="13" customHeight="1">
      <c r="A13" s="6" t="n">
        <v>21850</v>
      </c>
      <c r="B13" s="41" t="n"/>
      <c r="C13" s="43" t="n">
        <v>37.07</v>
      </c>
      <c r="D13" s="59" t="n"/>
      <c r="E13" s="27" t="n"/>
    </row>
    <row r="14" ht="13" customHeight="1">
      <c r="A14" s="4" t="n">
        <v>21900</v>
      </c>
      <c r="B14" s="41" t="n">
        <v>52.41</v>
      </c>
      <c r="C14" s="43" t="n">
        <v>36.68</v>
      </c>
      <c r="D14" s="60" t="n">
        <v>-15.73</v>
      </c>
      <c r="E14" s="26" t="n"/>
    </row>
    <row r="15" ht="13" customHeight="1">
      <c r="A15" s="6" t="n">
        <v>21950</v>
      </c>
      <c r="B15" s="41" t="n"/>
      <c r="C15" s="43" t="n">
        <v>36.1</v>
      </c>
      <c r="D15" s="59" t="n"/>
      <c r="E15" s="27" t="n"/>
    </row>
    <row r="16" ht="13" customHeight="1">
      <c r="A16" s="4" t="n">
        <v>22000</v>
      </c>
      <c r="B16" s="41" t="n"/>
      <c r="C16" s="43" t="n">
        <v>35.66</v>
      </c>
      <c r="D16" s="59" t="n"/>
      <c r="E16" s="26" t="n"/>
    </row>
    <row r="17" ht="13" customHeight="1">
      <c r="A17" s="6" t="n">
        <v>22050</v>
      </c>
      <c r="B17" s="41" t="n"/>
      <c r="C17" s="43" t="n">
        <v>35.05</v>
      </c>
      <c r="D17" s="59" t="n"/>
      <c r="E17" s="27" t="n"/>
    </row>
    <row r="18" ht="13" customHeight="1">
      <c r="A18" s="4" t="n">
        <v>22100</v>
      </c>
      <c r="B18" s="41" t="n"/>
      <c r="C18" s="43" t="n">
        <v>33.71</v>
      </c>
      <c r="D18" s="59" t="n"/>
      <c r="E18" s="26" t="n"/>
    </row>
    <row r="19" ht="13" customHeight="1">
      <c r="A19" s="6" t="n">
        <v>22150</v>
      </c>
      <c r="B19" s="41" t="n"/>
      <c r="C19" s="43" t="n">
        <v>33.54</v>
      </c>
      <c r="D19" s="59" t="n"/>
      <c r="E19" s="27" t="n"/>
    </row>
    <row r="20" ht="13" customHeight="1">
      <c r="A20" s="4" t="n">
        <v>22200</v>
      </c>
      <c r="B20" s="41" t="n"/>
      <c r="C20" s="43" t="n">
        <v>32.79</v>
      </c>
      <c r="D20" s="59" t="n"/>
      <c r="E20" s="26" t="n"/>
    </row>
    <row r="21" ht="13" customHeight="1">
      <c r="A21" s="6" t="n">
        <v>22250</v>
      </c>
      <c r="B21" s="41" t="n"/>
      <c r="C21" s="43" t="n">
        <v>32.17</v>
      </c>
      <c r="D21" s="59" t="n"/>
      <c r="E21" s="27" t="n"/>
    </row>
    <row r="22" ht="13" customHeight="1">
      <c r="A22" s="4" t="n">
        <v>22300</v>
      </c>
      <c r="B22" s="41" t="n">
        <v>47.99</v>
      </c>
      <c r="C22" s="43" t="n">
        <v>31.54</v>
      </c>
      <c r="D22" s="60" t="n">
        <v>-16.45</v>
      </c>
      <c r="E22" s="26" t="n"/>
    </row>
    <row r="23" ht="13" customHeight="1">
      <c r="A23" s="6" t="n">
        <v>22350</v>
      </c>
      <c r="B23" s="41" t="n"/>
      <c r="C23" s="43" t="n">
        <v>30.9</v>
      </c>
      <c r="D23" s="59" t="n"/>
      <c r="E23" s="27" t="n"/>
    </row>
    <row r="24" ht="13" customHeight="1">
      <c r="A24" s="4" t="n">
        <v>22400</v>
      </c>
      <c r="B24" s="41" t="n"/>
      <c r="C24" s="43" t="n">
        <v>30.14</v>
      </c>
      <c r="D24" s="59" t="n"/>
      <c r="E24" s="26" t="n"/>
    </row>
    <row r="25" ht="13" customHeight="1">
      <c r="A25" s="6" t="n">
        <v>22450</v>
      </c>
      <c r="B25" s="41" t="n"/>
      <c r="C25" s="43" t="n">
        <v>29.6</v>
      </c>
      <c r="D25" s="59" t="n"/>
      <c r="E25" s="27" t="n"/>
    </row>
    <row r="26" ht="13" customHeight="1">
      <c r="A26" s="4" t="n">
        <v>22500</v>
      </c>
      <c r="B26" s="41" t="n"/>
      <c r="C26" s="43" t="n">
        <v>28.61</v>
      </c>
      <c r="D26" s="59" t="n"/>
      <c r="E26" s="26" t="n"/>
    </row>
    <row r="27" ht="13" customHeight="1">
      <c r="A27" s="6" t="n">
        <v>22550</v>
      </c>
      <c r="B27" s="41" t="n"/>
      <c r="C27" s="43" t="n">
        <v>27.85</v>
      </c>
      <c r="D27" s="59" t="n"/>
      <c r="E27" s="27" t="n"/>
    </row>
    <row r="28" ht="13" customHeight="1">
      <c r="A28" s="4" t="n">
        <v>22600</v>
      </c>
      <c r="B28" s="41" t="n"/>
      <c r="C28" s="43" t="n">
        <v>27.4</v>
      </c>
      <c r="D28" s="59" t="n"/>
      <c r="E28" s="26" t="n"/>
    </row>
    <row r="29" ht="13" customHeight="1">
      <c r="A29" s="6" t="n">
        <v>22650</v>
      </c>
      <c r="B29" s="41" t="n">
        <v>51.33</v>
      </c>
      <c r="C29" s="43" t="n">
        <v>27</v>
      </c>
      <c r="D29" s="60" t="n">
        <v>-24.33</v>
      </c>
      <c r="E29" s="27" t="n"/>
    </row>
    <row r="30" ht="13" customHeight="1">
      <c r="A30" s="4" t="n">
        <v>22700</v>
      </c>
      <c r="B30" s="41" t="n"/>
      <c r="C30" s="43" t="n">
        <v>26.04</v>
      </c>
      <c r="D30" s="59" t="n"/>
      <c r="E30" s="26" t="n"/>
    </row>
    <row r="31" ht="13" customHeight="1">
      <c r="A31" s="6" t="n">
        <v>22750</v>
      </c>
      <c r="B31" s="41" t="n"/>
      <c r="C31" s="43" t="n">
        <v>25.44</v>
      </c>
      <c r="D31" s="59" t="n"/>
      <c r="E31" s="27" t="n"/>
    </row>
    <row r="32" ht="13" customHeight="1">
      <c r="A32" s="4" t="n">
        <v>22800</v>
      </c>
      <c r="B32" s="41" t="n"/>
      <c r="C32" s="43" t="n">
        <v>25.06</v>
      </c>
      <c r="D32" s="59" t="n"/>
      <c r="E32" s="26" t="n"/>
    </row>
    <row r="33" ht="13" customHeight="1">
      <c r="A33" s="6" t="n">
        <v>22850</v>
      </c>
      <c r="B33" s="41" t="n"/>
      <c r="C33" s="43" t="n">
        <v>24.49</v>
      </c>
      <c r="D33" s="59" t="n"/>
      <c r="E33" s="27" t="n"/>
    </row>
    <row r="34" ht="13" customHeight="1">
      <c r="A34" s="4" t="n">
        <v>22900</v>
      </c>
      <c r="B34" s="41" t="n"/>
      <c r="C34" s="43" t="n">
        <v>23.69</v>
      </c>
      <c r="D34" s="59" t="n"/>
      <c r="E34" s="26" t="n"/>
    </row>
    <row r="35" ht="13" customHeight="1">
      <c r="A35" s="6" t="n">
        <v>22950</v>
      </c>
      <c r="B35" s="41" t="n"/>
      <c r="C35" s="43" t="n">
        <v>22.96</v>
      </c>
      <c r="D35" s="59" t="n"/>
      <c r="E35" s="27" t="n"/>
    </row>
    <row r="36" ht="13" customHeight="1">
      <c r="A36" s="4" t="n">
        <v>23000</v>
      </c>
      <c r="B36" s="41" t="n"/>
      <c r="C36" s="43" t="n">
        <v>22.34</v>
      </c>
      <c r="D36" s="59" t="n"/>
      <c r="E36" s="26" t="n"/>
    </row>
    <row r="37" ht="13" customHeight="1">
      <c r="A37" s="6" t="n">
        <v>23050</v>
      </c>
      <c r="B37" s="41" t="n"/>
      <c r="C37" s="43" t="n">
        <v>21.59</v>
      </c>
      <c r="D37" s="59" t="n"/>
      <c r="E37" s="27" t="n"/>
    </row>
    <row r="38" ht="13" customHeight="1">
      <c r="A38" s="4" t="n">
        <v>23100</v>
      </c>
      <c r="B38" s="41" t="n"/>
      <c r="C38" s="43" t="n">
        <v>21.01</v>
      </c>
      <c r="D38" s="59" t="n"/>
      <c r="E38" s="26" t="n"/>
    </row>
    <row r="39" ht="13" customHeight="1">
      <c r="A39" s="6" t="n">
        <v>23150</v>
      </c>
      <c r="B39" s="41" t="n"/>
      <c r="C39" s="43" t="n">
        <v>20.39</v>
      </c>
      <c r="D39" s="59" t="n"/>
      <c r="E39" s="27" t="n"/>
    </row>
    <row r="40" ht="13" customHeight="1">
      <c r="A40" s="4" t="n">
        <v>23200</v>
      </c>
      <c r="B40" s="41" t="n"/>
      <c r="C40" s="43" t="n">
        <v>19.7</v>
      </c>
      <c r="D40" s="59" t="n"/>
      <c r="E40" s="26" t="n"/>
    </row>
    <row r="41" ht="13" customHeight="1">
      <c r="A41" s="6" t="n">
        <v>23250</v>
      </c>
      <c r="B41" s="41" t="n"/>
      <c r="C41" s="43" t="n">
        <v>19</v>
      </c>
      <c r="D41" s="59" t="n"/>
      <c r="E41" s="27" t="n"/>
    </row>
    <row r="42" ht="13" customHeight="1">
      <c r="A42" s="4" t="n">
        <v>23300</v>
      </c>
      <c r="B42" s="41" t="n"/>
      <c r="C42" s="43" t="n">
        <v>18.45</v>
      </c>
      <c r="D42" s="59" t="n"/>
      <c r="E42" s="26" t="n"/>
    </row>
    <row r="43" ht="13" customHeight="1">
      <c r="A43" s="6" t="n">
        <v>23350</v>
      </c>
      <c r="B43" s="41" t="n"/>
      <c r="C43" s="43" t="n">
        <v>17.85</v>
      </c>
      <c r="D43" s="59" t="n"/>
      <c r="E43" s="27" t="n"/>
    </row>
    <row r="44" ht="13" customHeight="1">
      <c r="A44" s="4" t="n">
        <v>23400</v>
      </c>
      <c r="B44" s="41" t="n"/>
      <c r="C44" s="43" t="n">
        <v>17.18</v>
      </c>
      <c r="D44" s="59" t="n"/>
      <c r="E44" s="26" t="n"/>
    </row>
    <row r="45" ht="13" customHeight="1">
      <c r="A45" s="6" t="n">
        <v>23450</v>
      </c>
      <c r="B45" s="41" t="n"/>
      <c r="C45" s="43" t="n">
        <v>16.55</v>
      </c>
      <c r="D45" s="59" t="n"/>
      <c r="E45" s="27" t="n"/>
    </row>
    <row r="46" ht="13" customHeight="1">
      <c r="A46" s="4" t="n">
        <v>23500</v>
      </c>
      <c r="B46" s="41" t="n"/>
      <c r="C46" s="43" t="n">
        <v>16.02</v>
      </c>
      <c r="D46" s="59" t="n"/>
      <c r="E46" s="26" t="n"/>
    </row>
    <row r="47" ht="13" customHeight="1">
      <c r="A47" s="6" t="n">
        <v>23550</v>
      </c>
      <c r="B47" s="41" t="n"/>
      <c r="C47" s="43" t="n">
        <v>15.42</v>
      </c>
      <c r="D47" s="59" t="n"/>
      <c r="E47" s="27" t="n"/>
    </row>
    <row r="48" ht="13" customHeight="1">
      <c r="A48" s="4" t="n">
        <v>23600</v>
      </c>
      <c r="B48" s="41" t="n"/>
      <c r="C48" s="43" t="n">
        <v>14.86</v>
      </c>
      <c r="D48" s="59" t="n"/>
      <c r="E48" s="26" t="n"/>
    </row>
    <row r="49" ht="13" customHeight="1">
      <c r="A49" s="6" t="n">
        <v>23650</v>
      </c>
      <c r="B49" s="41" t="n"/>
      <c r="C49" s="43" t="n">
        <v>14.34</v>
      </c>
      <c r="D49" s="59" t="n"/>
      <c r="E49" s="27" t="n"/>
    </row>
    <row r="50" ht="13" customHeight="1">
      <c r="A50" s="4" t="n">
        <v>23700</v>
      </c>
      <c r="B50" s="41" t="n"/>
      <c r="C50" s="43" t="n">
        <v>13.77</v>
      </c>
      <c r="D50" s="59" t="n"/>
      <c r="E50" s="26" t="n"/>
    </row>
    <row r="51" ht="13" customHeight="1">
      <c r="A51" s="6" t="n">
        <v>23750</v>
      </c>
      <c r="B51" s="41" t="n"/>
      <c r="C51" s="43" t="n">
        <v>13.31</v>
      </c>
      <c r="D51" s="59" t="n"/>
      <c r="E51" s="27" t="n"/>
    </row>
    <row r="52" ht="13" customHeight="1">
      <c r="A52" s="4" t="n">
        <v>23800</v>
      </c>
      <c r="B52" s="41" t="n"/>
      <c r="C52" s="43" t="n">
        <v>12.88</v>
      </c>
      <c r="D52" s="59" t="n"/>
      <c r="E52" s="26" t="n"/>
    </row>
    <row r="53" ht="13" customHeight="1">
      <c r="A53" s="6" t="n">
        <v>23850</v>
      </c>
      <c r="B53" s="41" t="n"/>
      <c r="C53" s="43" t="n">
        <v>12.37</v>
      </c>
      <c r="D53" s="59" t="n"/>
      <c r="E53" s="27" t="n"/>
    </row>
    <row r="54" ht="13" customHeight="1">
      <c r="A54" s="4" t="n">
        <v>23900</v>
      </c>
      <c r="B54" s="41" t="n">
        <v>7.49</v>
      </c>
      <c r="C54" s="43" t="n">
        <v>11.87</v>
      </c>
      <c r="D54" s="61" t="n">
        <v>4.38</v>
      </c>
      <c r="E54" s="26" t="n"/>
    </row>
    <row r="55" ht="13" customHeight="1">
      <c r="A55" s="6" t="n">
        <v>23950</v>
      </c>
      <c r="B55" s="41" t="n">
        <v>8.630000000000001</v>
      </c>
      <c r="C55" s="43" t="n">
        <v>11.48</v>
      </c>
      <c r="D55" s="61" t="n">
        <v>2.85</v>
      </c>
      <c r="E55" s="27" t="n"/>
    </row>
    <row r="56" ht="13" customHeight="1">
      <c r="A56" s="4" t="n">
        <v>24000</v>
      </c>
      <c r="B56" s="41" t="n">
        <v>8.16</v>
      </c>
      <c r="C56" s="43" t="n">
        <v>11.12</v>
      </c>
      <c r="D56" s="61" t="n">
        <v>2.96</v>
      </c>
      <c r="E56" s="26" t="n"/>
    </row>
    <row r="57" ht="13" customHeight="1">
      <c r="A57" s="6" t="n">
        <v>24050</v>
      </c>
      <c r="B57" s="41" t="n">
        <v>8.59</v>
      </c>
      <c r="C57" s="43" t="n">
        <v>10.81</v>
      </c>
      <c r="D57" s="61" t="n">
        <v>2.22</v>
      </c>
      <c r="E57" s="27" t="n"/>
    </row>
    <row r="58" ht="13" customHeight="1">
      <c r="A58" s="4" t="n">
        <v>24100</v>
      </c>
      <c r="B58" s="41" t="n">
        <v>8.42</v>
      </c>
      <c r="C58" s="43" t="n">
        <v>10.51</v>
      </c>
      <c r="D58" s="61" t="n">
        <v>2.09</v>
      </c>
      <c r="E58" s="26" t="n"/>
    </row>
    <row r="59" ht="13" customHeight="1">
      <c r="A59" s="6" t="n">
        <v>24150</v>
      </c>
      <c r="B59" s="41" t="n">
        <v>8.640000000000001</v>
      </c>
      <c r="C59" s="43" t="n">
        <v>10.32</v>
      </c>
      <c r="D59" s="59" t="n">
        <v>1.68</v>
      </c>
      <c r="E59" s="27" t="n"/>
    </row>
    <row r="60" ht="13" customHeight="1">
      <c r="A60" s="45" t="n">
        <v>24200</v>
      </c>
      <c r="B60" s="47" t="n">
        <v>8.539999999999999</v>
      </c>
      <c r="C60" s="47" t="n">
        <v>10.28</v>
      </c>
      <c r="D60" s="62" t="n">
        <v>1.74</v>
      </c>
      <c r="E60" s="63" t="n"/>
    </row>
    <row r="61" ht="13" customHeight="1">
      <c r="A61" s="6" t="n">
        <v>24250</v>
      </c>
      <c r="B61" s="41" t="n">
        <v>8.550000000000001</v>
      </c>
      <c r="C61" s="43" t="n">
        <v>10.15</v>
      </c>
      <c r="D61" s="59" t="n">
        <v>1.6</v>
      </c>
      <c r="E61" s="27" t="n"/>
    </row>
    <row r="62" ht="13" customHeight="1">
      <c r="A62" s="4" t="n">
        <v>24300</v>
      </c>
      <c r="B62" s="41" t="n">
        <v>8.65</v>
      </c>
      <c r="C62" s="43" t="n">
        <v>10.32</v>
      </c>
      <c r="D62" s="59" t="n">
        <v>1.67</v>
      </c>
      <c r="E62" s="26" t="n"/>
    </row>
    <row r="63" ht="13" customHeight="1">
      <c r="A63" s="6" t="n">
        <v>24350</v>
      </c>
      <c r="B63" s="41" t="n">
        <v>8.65</v>
      </c>
      <c r="C63" s="43" t="n">
        <v>10.46</v>
      </c>
      <c r="D63" s="59" t="n">
        <v>1.81</v>
      </c>
      <c r="E63" s="27" t="n"/>
    </row>
    <row r="64" ht="13" customHeight="1">
      <c r="A64" s="4" t="n">
        <v>24400</v>
      </c>
      <c r="B64" s="41" t="n">
        <v>8.74</v>
      </c>
      <c r="C64" s="43" t="n">
        <v>11.04</v>
      </c>
      <c r="D64" s="61" t="n">
        <v>2.3</v>
      </c>
      <c r="E64" s="26" t="n"/>
    </row>
    <row r="65" ht="13" customHeight="1">
      <c r="A65" s="6" t="n">
        <v>24450</v>
      </c>
      <c r="B65" s="41" t="n">
        <v>8.84</v>
      </c>
      <c r="C65" s="43" t="n">
        <v>11.22</v>
      </c>
      <c r="D65" s="61" t="n">
        <v>2.38</v>
      </c>
      <c r="E65" s="27" t="n"/>
    </row>
    <row r="66" ht="13" customHeight="1">
      <c r="A66" s="4" t="n">
        <v>24500</v>
      </c>
      <c r="B66" s="41" t="n">
        <v>8.960000000000001</v>
      </c>
      <c r="C66" s="43" t="n">
        <v>11.72</v>
      </c>
      <c r="D66" s="61" t="n">
        <v>2.76</v>
      </c>
      <c r="E66" s="26" t="n"/>
    </row>
    <row r="67" ht="13" customHeight="1">
      <c r="A67" s="6" t="n">
        <v>24550</v>
      </c>
      <c r="B67" s="41" t="n">
        <v>9.09</v>
      </c>
      <c r="C67" s="43" t="n">
        <v>12.37</v>
      </c>
      <c r="D67" s="61" t="n">
        <v>3.28</v>
      </c>
      <c r="E67" s="27" t="n"/>
    </row>
    <row r="68" ht="13" customHeight="1">
      <c r="A68" s="4" t="n">
        <v>24600</v>
      </c>
      <c r="B68" s="41" t="n">
        <v>9.34</v>
      </c>
      <c r="C68" s="43" t="n">
        <v>13.18</v>
      </c>
      <c r="D68" s="61" t="n">
        <v>3.84</v>
      </c>
      <c r="E68" s="26" t="n"/>
    </row>
    <row r="69" ht="13" customHeight="1">
      <c r="A69" s="6" t="n">
        <v>24650</v>
      </c>
      <c r="B69" s="41" t="n">
        <v>9.630000000000001</v>
      </c>
      <c r="C69" s="43" t="n">
        <v>13.89</v>
      </c>
      <c r="D69" s="61" t="n">
        <v>4.26</v>
      </c>
      <c r="E69" s="27" t="n"/>
    </row>
    <row r="70" ht="13" customHeight="1">
      <c r="A70" s="4" t="n">
        <v>24700</v>
      </c>
      <c r="B70" s="41" t="n">
        <v>9.970000000000001</v>
      </c>
      <c r="C70" s="43" t="n">
        <v>15.15</v>
      </c>
      <c r="D70" s="61" t="n">
        <v>5.18</v>
      </c>
      <c r="E70" s="26" t="n"/>
    </row>
    <row r="71" ht="13" customHeight="1">
      <c r="A71" s="6" t="n">
        <v>24750</v>
      </c>
      <c r="B71" s="41" t="n">
        <v>10.39</v>
      </c>
      <c r="C71" s="43" t="n">
        <v>16.09</v>
      </c>
      <c r="D71" s="61" t="n">
        <v>5.7</v>
      </c>
      <c r="E71" s="27" t="n"/>
    </row>
    <row r="72" ht="13" customHeight="1">
      <c r="A72" s="4" t="n">
        <v>24800</v>
      </c>
      <c r="B72" s="41" t="n">
        <v>10.93</v>
      </c>
      <c r="C72" s="43" t="n">
        <v>17.04</v>
      </c>
      <c r="D72" s="61" t="n">
        <v>6.11</v>
      </c>
      <c r="E72" s="26" t="n"/>
    </row>
    <row r="73" ht="13" customHeight="1">
      <c r="A73" s="6" t="n">
        <v>24850</v>
      </c>
      <c r="B73" s="41" t="n">
        <v>11.52</v>
      </c>
      <c r="C73" s="43" t="n">
        <v>18.14</v>
      </c>
      <c r="D73" s="61" t="n">
        <v>6.62</v>
      </c>
      <c r="E73" s="27" t="n"/>
    </row>
    <row r="74" ht="13" customHeight="1">
      <c r="A74" s="4" t="n">
        <v>24900</v>
      </c>
      <c r="B74" s="41" t="n">
        <v>12.01</v>
      </c>
      <c r="C74" s="43" t="n">
        <v>19.39</v>
      </c>
      <c r="D74" s="61" t="n">
        <v>7.38</v>
      </c>
      <c r="E74" s="26" t="n"/>
    </row>
    <row r="75" ht="13" customHeight="1">
      <c r="A75" s="6" t="n">
        <v>24950</v>
      </c>
      <c r="B75" s="41" t="n">
        <v>12.72</v>
      </c>
      <c r="C75" s="43" t="n">
        <v>20.45</v>
      </c>
      <c r="D75" s="61" t="n">
        <v>7.73</v>
      </c>
      <c r="E75" s="27" t="n"/>
    </row>
    <row r="76" ht="13" customHeight="1">
      <c r="A76" s="4" t="n">
        <v>25000</v>
      </c>
      <c r="B76" s="41" t="n">
        <v>13.35</v>
      </c>
      <c r="C76" s="43" t="n">
        <v>20.22</v>
      </c>
      <c r="D76" s="61" t="n">
        <v>6.87</v>
      </c>
      <c r="E76" s="26" t="n"/>
    </row>
    <row r="77" ht="13" customHeight="1">
      <c r="A77" s="6" t="n">
        <v>25050</v>
      </c>
      <c r="B77" s="41" t="n">
        <v>13.9</v>
      </c>
      <c r="C77" s="43" t="n">
        <v>22.17</v>
      </c>
      <c r="D77" s="61" t="n">
        <v>8.27</v>
      </c>
      <c r="E77" s="27" t="n"/>
    </row>
    <row r="78" ht="13" customHeight="1">
      <c r="A78" s="4" t="n">
        <v>25100</v>
      </c>
      <c r="B78" s="41" t="n">
        <v>14.26</v>
      </c>
      <c r="C78" s="43" t="n">
        <v>23.19</v>
      </c>
      <c r="D78" s="61" t="n">
        <v>8.93</v>
      </c>
      <c r="E78" s="26" t="n"/>
    </row>
    <row r="79" ht="13" customHeight="1">
      <c r="A79" s="6" t="n">
        <v>25150</v>
      </c>
      <c r="B79" s="41" t="n">
        <v>14.8</v>
      </c>
      <c r="C79" s="43" t="n">
        <v>23.69</v>
      </c>
      <c r="D79" s="61" t="n">
        <v>8.890000000000001</v>
      </c>
      <c r="E79" s="27" t="n"/>
    </row>
    <row r="80" ht="13" customHeight="1">
      <c r="A80" s="4" t="n">
        <v>25200</v>
      </c>
      <c r="B80" s="41" t="n">
        <v>15.21</v>
      </c>
      <c r="C80" s="43" t="n">
        <v>25.04</v>
      </c>
      <c r="D80" s="61" t="n">
        <v>9.83</v>
      </c>
      <c r="E80" s="26" t="n"/>
    </row>
    <row r="81" ht="13" customHeight="1">
      <c r="A81" s="6" t="n">
        <v>25250</v>
      </c>
      <c r="B81" s="41" t="n">
        <v>15.67</v>
      </c>
      <c r="C81" s="43" t="n">
        <v>28.78</v>
      </c>
      <c r="D81" s="61" t="n">
        <v>13.11</v>
      </c>
      <c r="E81" s="27" t="n"/>
    </row>
    <row r="82" ht="13" customHeight="1">
      <c r="A82" s="4" t="n">
        <v>25300</v>
      </c>
      <c r="B82" s="41" t="n">
        <v>16.22</v>
      </c>
      <c r="C82" s="43" t="n">
        <v>25.69</v>
      </c>
      <c r="D82" s="61" t="n">
        <v>9.470000000000001</v>
      </c>
      <c r="E82" s="26" t="n"/>
    </row>
    <row r="83" ht="13" customHeight="1">
      <c r="A83" s="6" t="n">
        <v>25350</v>
      </c>
      <c r="B83" s="41" t="n">
        <v>17</v>
      </c>
      <c r="C83" s="43" t="n">
        <v>30.35</v>
      </c>
      <c r="D83" s="61" t="n">
        <v>13.35</v>
      </c>
      <c r="E83" s="27" t="n"/>
    </row>
    <row r="84" ht="13" customHeight="1">
      <c r="A84" s="4" t="n">
        <v>25400</v>
      </c>
      <c r="B84" s="41" t="n">
        <v>17.53</v>
      </c>
      <c r="C84" s="43" t="n">
        <v>27.48</v>
      </c>
      <c r="D84" s="61" t="n">
        <v>9.949999999999999</v>
      </c>
      <c r="E84" s="26" t="n"/>
    </row>
    <row r="85" ht="13" customHeight="1">
      <c r="A85" s="6" t="n">
        <v>25450</v>
      </c>
      <c r="B85" s="41" t="n">
        <v>18.04</v>
      </c>
      <c r="C85" s="43" t="n">
        <v>32</v>
      </c>
      <c r="D85" s="61" t="n">
        <v>13.96</v>
      </c>
      <c r="E85" s="27" t="n"/>
    </row>
    <row r="86" ht="13" customHeight="1">
      <c r="A86" s="4" t="n">
        <v>25500</v>
      </c>
      <c r="B86" s="41" t="n">
        <v>18.82</v>
      </c>
      <c r="C86" s="43" t="n">
        <v>31.26</v>
      </c>
      <c r="D86" s="61" t="n">
        <v>12.44</v>
      </c>
      <c r="E86" s="26" t="n"/>
    </row>
    <row r="87" ht="13" customHeight="1">
      <c r="A87" s="6" t="n">
        <v>25550</v>
      </c>
      <c r="B87" s="41" t="n">
        <v>19.32</v>
      </c>
      <c r="C87" s="43" t="n">
        <v>33.16</v>
      </c>
      <c r="D87" s="61" t="n">
        <v>13.84</v>
      </c>
      <c r="E87" s="27" t="n"/>
    </row>
    <row r="88" ht="13" customHeight="1">
      <c r="A88" s="4" t="n">
        <v>25600</v>
      </c>
      <c r="B88" s="41" t="n">
        <v>19.64</v>
      </c>
      <c r="C88" s="43" t="n">
        <v>34.66</v>
      </c>
      <c r="D88" s="61" t="n">
        <v>15.02</v>
      </c>
      <c r="E88" s="26" t="n"/>
    </row>
    <row r="89" ht="13" customHeight="1">
      <c r="A89" s="6" t="n">
        <v>25650</v>
      </c>
      <c r="B89" s="41" t="n">
        <v>20.26</v>
      </c>
      <c r="C89" s="43" t="n"/>
      <c r="D89" s="59" t="n"/>
      <c r="E89" s="27" t="n"/>
    </row>
    <row r="90" ht="13" customHeight="1">
      <c r="A90" s="4" t="n">
        <v>25700</v>
      </c>
      <c r="B90" s="41" t="n">
        <v>21.05</v>
      </c>
      <c r="C90" s="43" t="n"/>
      <c r="D90" s="59" t="n"/>
      <c r="E90" s="26" t="n"/>
    </row>
    <row r="91" ht="13" customHeight="1">
      <c r="A91" s="6" t="n">
        <v>25750</v>
      </c>
      <c r="B91" s="41" t="n">
        <v>21.5</v>
      </c>
      <c r="C91" s="43" t="n">
        <v>37.47</v>
      </c>
      <c r="D91" s="61" t="n">
        <v>15.97</v>
      </c>
      <c r="E91" s="27" t="n"/>
    </row>
    <row r="92" ht="13" customHeight="1">
      <c r="A92" s="4" t="n">
        <v>25800</v>
      </c>
      <c r="B92" s="41" t="n">
        <v>22.11</v>
      </c>
      <c r="C92" s="43" t="n">
        <v>35.45</v>
      </c>
      <c r="D92" s="61" t="n">
        <v>13.34</v>
      </c>
      <c r="E92" s="26" t="n"/>
    </row>
    <row r="93" ht="13" customHeight="1">
      <c r="A93" s="6" t="n">
        <v>25850</v>
      </c>
      <c r="B93" s="41" t="n">
        <v>22.52</v>
      </c>
      <c r="C93" s="43" t="n">
        <v>38.93</v>
      </c>
      <c r="D93" s="61" t="n">
        <v>16.41</v>
      </c>
      <c r="E93" s="27" t="n"/>
    </row>
    <row r="94" ht="13" customHeight="1">
      <c r="A94" s="4" t="n">
        <v>25900</v>
      </c>
      <c r="B94" s="41" t="n">
        <v>22.91</v>
      </c>
      <c r="C94" s="43" t="n"/>
      <c r="D94" s="59" t="n"/>
      <c r="E94" s="26" t="n"/>
    </row>
    <row r="95" ht="13" customHeight="1">
      <c r="A95" s="6" t="n">
        <v>25950</v>
      </c>
      <c r="B95" s="41" t="n">
        <v>23.73</v>
      </c>
      <c r="C95" s="43" t="n">
        <v>48.17</v>
      </c>
      <c r="D95" s="61" t="n">
        <v>24.44</v>
      </c>
      <c r="E95" s="27" t="n"/>
    </row>
    <row r="96" ht="13" customHeight="1">
      <c r="A96" s="4" t="n">
        <v>26000</v>
      </c>
      <c r="B96" s="41" t="n">
        <v>24.33</v>
      </c>
      <c r="C96" s="43" t="n">
        <v>39.38</v>
      </c>
      <c r="D96" s="61" t="n">
        <v>15.05</v>
      </c>
      <c r="E96" s="26" t="n"/>
    </row>
    <row r="97" ht="13" customHeight="1">
      <c r="A97" s="6" t="n">
        <v>26050</v>
      </c>
      <c r="B97" s="41" t="n">
        <v>24.69</v>
      </c>
      <c r="C97" s="43" t="n">
        <v>43.12</v>
      </c>
      <c r="D97" s="61" t="n">
        <v>18.43</v>
      </c>
      <c r="E97" s="27" t="n"/>
    </row>
    <row r="98" ht="13" customHeight="1">
      <c r="A98" s="4" t="n">
        <v>26100</v>
      </c>
      <c r="B98" s="41" t="n">
        <v>25.03</v>
      </c>
      <c r="C98" s="43" t="n">
        <v>43.43</v>
      </c>
      <c r="D98" s="61" t="n">
        <v>18.4</v>
      </c>
      <c r="E98" s="26" t="n"/>
    </row>
    <row r="99" ht="13" customHeight="1">
      <c r="A99" s="6" t="n">
        <v>26150</v>
      </c>
      <c r="B99" s="41" t="n">
        <v>25.33</v>
      </c>
      <c r="C99" s="43" t="n">
        <v>44.27</v>
      </c>
      <c r="D99" s="61" t="n">
        <v>18.94</v>
      </c>
      <c r="E99" s="27" t="n"/>
    </row>
    <row r="100" ht="13" customHeight="1">
      <c r="A100" s="4" t="n">
        <v>26200</v>
      </c>
      <c r="B100" s="41" t="n">
        <v>25.91</v>
      </c>
      <c r="C100" s="43" t="n"/>
      <c r="D100" s="59" t="n"/>
      <c r="E100" s="26" t="n"/>
    </row>
    <row r="101" ht="13" customHeight="1">
      <c r="A101" s="6" t="n">
        <v>26250</v>
      </c>
      <c r="B101" s="41" t="n">
        <v>26.48</v>
      </c>
      <c r="C101" s="43" t="n"/>
      <c r="D101" s="59" t="n"/>
      <c r="E101" s="27" t="n"/>
    </row>
    <row r="102" ht="13" customHeight="1">
      <c r="A102" s="4" t="n">
        <v>26300</v>
      </c>
      <c r="B102" s="41" t="n">
        <v>27.05</v>
      </c>
      <c r="C102" s="43" t="n"/>
      <c r="D102" s="59" t="n"/>
      <c r="E102" s="26" t="n"/>
    </row>
  </sheetData>
  <mergeCells count="2">
    <mergeCell ref="A1:E1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6" customWidth="1" min="9" max="9"/>
  </cols>
  <sheetData>
    <row r="1" ht="22" customHeight="1">
      <c r="A1" s="1" t="inlineStr">
        <is>
          <t>NSE FAO — Composite Sentiment Summary</t>
        </is>
      </c>
    </row>
    <row r="2" ht="28" customHeight="1">
      <c r="A2" s="49" t="inlineStr">
        <is>
          <t>Participant</t>
        </is>
      </c>
      <c r="B2" s="49" t="inlineStr">
        <is>
          <t>Signal</t>
        </is>
      </c>
      <c r="C2" s="49" t="inlineStr">
        <is>
          <t>Jul 06 2026</t>
        </is>
      </c>
      <c r="D2" s="49" t="inlineStr">
        <is>
          <t>Jul 07 2026</t>
        </is>
      </c>
      <c r="E2" s="49" t="inlineStr">
        <is>
          <t>Jul 08 2026</t>
        </is>
      </c>
      <c r="F2" s="49" t="inlineStr">
        <is>
          <t>Jul 09 2026</t>
        </is>
      </c>
      <c r="G2" s="49" t="inlineStr">
        <is>
          <t>Jul 10 2026</t>
        </is>
      </c>
      <c r="H2" s="49" t="inlineStr">
        <is>
          <t>Latest Signal</t>
        </is>
      </c>
      <c r="I2" s="49" t="inlineStr">
        <is>
          <t>Interpretation</t>
        </is>
      </c>
    </row>
    <row r="3" ht="16" customHeight="1">
      <c r="A3" s="14" t="inlineStr">
        <is>
          <t>Client</t>
        </is>
      </c>
    </row>
    <row r="4" ht="14" customHeight="1">
      <c r="A4" s="17" t="inlineStr"/>
      <c r="B4" s="25" t="inlineStr">
        <is>
          <t>Fut Index Net OI</t>
        </is>
      </c>
      <c r="C4" s="64">
        <f>IF('Raw OI Data'!C3-'Raw OI Data'!D3&gt;0,"▲ Net Long","▼ Net Short")</f>
        <v/>
      </c>
      <c r="D4" s="64">
        <f>IF('Raw OI Data'!C7-'Raw OI Data'!D7&gt;0,"▲ Net Long","▼ Net Short")</f>
        <v/>
      </c>
      <c r="E4" s="64">
        <f>IF('Raw OI Data'!C11-'Raw OI Data'!D11&gt;0,"▲ Net Long","▼ Net Short")</f>
        <v/>
      </c>
      <c r="F4" s="64">
        <f>IF('Raw OI Data'!C15-'Raw OI Data'!D15&gt;0,"▲ Net Long","▼ Net Short")</f>
        <v/>
      </c>
      <c r="G4" s="64">
        <f>IF('Raw OI Data'!C19-'Raw OI Data'!D19&gt;0,"▲ Net Long","▼ Net Short")</f>
        <v/>
      </c>
      <c r="H4" s="64">
        <f>G4</f>
        <v/>
      </c>
      <c r="I4" s="65" t="inlineStr"/>
    </row>
    <row r="5" ht="14" customHeight="1">
      <c r="A5" s="15" t="inlineStr"/>
      <c r="B5" s="25" t="inlineStr">
        <is>
          <t>Fut Stock Net OI</t>
        </is>
      </c>
      <c r="C5" s="66">
        <f>IF('Raw OI Data'!E3-'Raw OI Data'!F3&gt;0,"▲ Net Long","▼ Net Short")</f>
        <v/>
      </c>
      <c r="D5" s="66">
        <f>IF('Raw OI Data'!E7-'Raw OI Data'!F7&gt;0,"▲ Net Long","▼ Net Short")</f>
        <v/>
      </c>
      <c r="E5" s="66">
        <f>IF('Raw OI Data'!E11-'Raw OI Data'!F11&gt;0,"▲ Net Long","▼ Net Short")</f>
        <v/>
      </c>
      <c r="F5" s="66">
        <f>IF('Raw OI Data'!E15-'Raw OI Data'!F15&gt;0,"▲ Net Long","▼ Net Short")</f>
        <v/>
      </c>
      <c r="G5" s="66">
        <f>IF('Raw OI Data'!E19-'Raw OI Data'!F19&gt;0,"▲ Net Long","▼ Net Short")</f>
        <v/>
      </c>
      <c r="H5" s="66">
        <f>G5</f>
        <v/>
      </c>
      <c r="I5" s="67" t="inlineStr"/>
    </row>
    <row r="6" ht="14" customHeight="1">
      <c r="A6" s="17" t="inlineStr"/>
      <c r="B6" s="25" t="inlineStr">
        <is>
          <t>Index OI PCR</t>
        </is>
      </c>
      <c r="C6" s="68">
        <f>IFERROR('Raw OI Data'!H3/'Raw OI Data'!G3,0)</f>
        <v/>
      </c>
      <c r="D6" s="68">
        <f>IFERROR('Raw OI Data'!H7/'Raw OI Data'!G7,0)</f>
        <v/>
      </c>
      <c r="E6" s="68">
        <f>IFERROR('Raw OI Data'!H11/'Raw OI Data'!G11,0)</f>
        <v/>
      </c>
      <c r="F6" s="68">
        <f>IFERROR('Raw OI Data'!H15/'Raw OI Data'!G15,0)</f>
        <v/>
      </c>
      <c r="G6" s="68">
        <f>IFERROR('Raw OI Data'!H19/'Raw OI Data'!G19,0)</f>
        <v/>
      </c>
      <c r="H6" s="68">
        <f>G6</f>
        <v/>
      </c>
      <c r="I6" s="65" t="inlineStr"/>
    </row>
    <row r="7" ht="14" customHeight="1">
      <c r="A7" s="15" t="inlineStr"/>
      <c r="B7" s="25" t="inlineStr">
        <is>
          <t>Total L/S Ratio</t>
        </is>
      </c>
      <c r="C7" s="69">
        <f>IFERROR('Raw OI Data'!O3/'Raw OI Data'!P3,0)</f>
        <v/>
      </c>
      <c r="D7" s="69">
        <f>IFERROR('Raw OI Data'!O7/'Raw OI Data'!P7,0)</f>
        <v/>
      </c>
      <c r="E7" s="69">
        <f>IFERROR('Raw OI Data'!O11/'Raw OI Data'!P11,0)</f>
        <v/>
      </c>
      <c r="F7" s="69">
        <f>IFERROR('Raw OI Data'!O15/'Raw OI Data'!P15,0)</f>
        <v/>
      </c>
      <c r="G7" s="69">
        <f>IFERROR('Raw OI Data'!O19/'Raw OI Data'!P19,0)</f>
        <v/>
      </c>
      <c r="H7" s="69">
        <f>G7</f>
        <v/>
      </c>
      <c r="I7" s="67" t="inlineStr"/>
    </row>
    <row r="8" ht="14" customHeight="1">
      <c r="A8" s="17" t="inlineStr"/>
      <c r="B8" s="50" t="inlineStr">
        <is>
          <t>Composite Signal</t>
        </is>
      </c>
      <c r="C8" s="70">
        <f>IF(AND(('Raw OI Data'!C3-'Raw OI Data'!D3)&gt;0,IFERROR('Raw OI Data'!H3/'Raw OI Data'!G3,1)&lt;1,IFERROR('Raw OI Data'!O3/'Raw OI Data'!P3,1)&gt;1),"🟢 Bullish",IF(AND(('Raw OI Data'!C3-'Raw OI Data'!D3)&lt;0,IFERROR('Raw OI Data'!H3/'Raw OI Data'!G3,1)&gt;1.5,IFERROR('Raw OI Data'!O3/'Raw OI Data'!P3,1)&lt;1),"🔴 Bearish",IF(AND(('Raw OI Data'!C3-'Raw OI Data'!D3)&lt;0,IFERROR('Raw OI Data'!H3/'Raw OI Data'!G3,1)&gt;1.2),"🟠 Cautious",IF(AND(('Raw OI Data'!C3-'Raw OI Data'!D3)&gt;0,IFERROR('Raw OI Data'!H3/'Raw OI Data'!G3,1)&lt;0.8),"🟢 Bullish","🟡 Neutral"))))</f>
        <v/>
      </c>
      <c r="D8" s="70">
        <f>IF(AND(('Raw OI Data'!C7-'Raw OI Data'!D7)&gt;0,IFERROR('Raw OI Data'!H7/'Raw OI Data'!G7,1)&lt;1,IFERROR('Raw OI Data'!O7/'Raw OI Data'!P7,1)&gt;1),"🟢 Bullish",IF(AND(('Raw OI Data'!C7-'Raw OI Data'!D7)&lt;0,IFERROR('Raw OI Data'!H7/'Raw OI Data'!G7,1)&gt;1.5,IFERROR('Raw OI Data'!O7/'Raw OI Data'!P7,1)&lt;1),"🔴 Bearish",IF(AND(('Raw OI Data'!C7-'Raw OI Data'!D7)&lt;0,IFERROR('Raw OI Data'!H7/'Raw OI Data'!G7,1)&gt;1.2),"🟠 Cautious",IF(AND(('Raw OI Data'!C7-'Raw OI Data'!D7)&gt;0,IFERROR('Raw OI Data'!H7/'Raw OI Data'!G7,1)&lt;0.8),"🟢 Bullish","🟡 Neutral"))))</f>
        <v/>
      </c>
      <c r="E8" s="70">
        <f>IF(AND(('Raw OI Data'!C11-'Raw OI Data'!D11)&gt;0,IFERROR('Raw OI Data'!H11/'Raw OI Data'!G11,1)&lt;1,IFERROR('Raw OI Data'!O11/'Raw OI Data'!P11,1)&gt;1),"🟢 Bullish",IF(AND(('Raw OI Data'!C11-'Raw OI Data'!D11)&lt;0,IFERROR('Raw OI Data'!H11/'Raw OI Data'!G11,1)&gt;1.5,IFERROR('Raw OI Data'!O11/'Raw OI Data'!P11,1)&lt;1),"🔴 Bearish",IF(AND(('Raw OI Data'!C11-'Raw OI Data'!D11)&lt;0,IFERROR('Raw OI Data'!H11/'Raw OI Data'!G11,1)&gt;1.2),"🟠 Cautious",IF(AND(('Raw OI Data'!C11-'Raw OI Data'!D11)&gt;0,IFERROR('Raw OI Data'!H11/'Raw OI Data'!G11,1)&lt;0.8),"🟢 Bullish","🟡 Neutral"))))</f>
        <v/>
      </c>
      <c r="F8" s="70">
        <f>IF(AND(('Raw OI Data'!C15-'Raw OI Data'!D15)&gt;0,IFERROR('Raw OI Data'!H15/'Raw OI Data'!G15,1)&lt;1,IFERROR('Raw OI Data'!O15/'Raw OI Data'!P15,1)&gt;1),"🟢 Bullish",IF(AND(('Raw OI Data'!C15-'Raw OI Data'!D15)&lt;0,IFERROR('Raw OI Data'!H15/'Raw OI Data'!G15,1)&gt;1.5,IFERROR('Raw OI Data'!O15/'Raw OI Data'!P15,1)&lt;1),"🔴 Bearish",IF(AND(('Raw OI Data'!C15-'Raw OI Data'!D15)&lt;0,IFERROR('Raw OI Data'!H15/'Raw OI Data'!G15,1)&gt;1.2),"🟠 Cautious",IF(AND(('Raw OI Data'!C15-'Raw OI Data'!D15)&gt;0,IFERROR('Raw OI Data'!H15/'Raw OI Data'!G15,1)&lt;0.8),"🟢 Bullish","🟡 Neutral"))))</f>
        <v/>
      </c>
      <c r="G8" s="70">
        <f>IF(AND(('Raw OI Data'!C19-'Raw OI Data'!D19)&gt;0,IFERROR('Raw OI Data'!H19/'Raw OI Data'!G19,1)&lt;1,IFERROR('Raw OI Data'!O19/'Raw OI Data'!P19,1)&gt;1),"🟢 Bullish",IF(AND(('Raw OI Data'!C19-'Raw OI Data'!D19)&lt;0,IFERROR('Raw OI Data'!H19/'Raw OI Data'!G19,1)&gt;1.5,IFERROR('Raw OI Data'!O19/'Raw OI Data'!P19,1)&lt;1),"🔴 Bearish",IF(AND(('Raw OI Data'!C19-'Raw OI Data'!D19)&lt;0,IFERROR('Raw OI Data'!H19/'Raw OI Data'!G19,1)&gt;1.2),"🟠 Cautious",IF(AND(('Raw OI Data'!C19-'Raw OI Data'!D19)&gt;0,IFERROR('Raw OI Data'!H19/'Raw OI Data'!G19,1)&lt;0.8),"🟢 Bullish","🟡 Neutral"))))</f>
        <v/>
      </c>
      <c r="H8" s="71">
        <f>G8</f>
        <v/>
      </c>
      <c r="I8" s="65" t="inlineStr">
        <is>
          <t>Retail — usually contra-indicator; track when extreme</t>
        </is>
      </c>
    </row>
    <row r="9" ht="16" customHeight="1">
      <c r="A9" s="14" t="inlineStr">
        <is>
          <t>DII</t>
        </is>
      </c>
    </row>
    <row r="10" ht="14" customHeight="1">
      <c r="A10" s="17" t="inlineStr"/>
      <c r="B10" s="25" t="inlineStr">
        <is>
          <t>Fut Index Net OI</t>
        </is>
      </c>
      <c r="C10" s="64">
        <f>IF('Raw OI Data'!C4-'Raw OI Data'!D4&gt;0,"▲ Net Long","▼ Net Short")</f>
        <v/>
      </c>
      <c r="D10" s="64">
        <f>IF('Raw OI Data'!C8-'Raw OI Data'!D8&gt;0,"▲ Net Long","▼ Net Short")</f>
        <v/>
      </c>
      <c r="E10" s="64">
        <f>IF('Raw OI Data'!C12-'Raw OI Data'!D12&gt;0,"▲ Net Long","▼ Net Short")</f>
        <v/>
      </c>
      <c r="F10" s="64">
        <f>IF('Raw OI Data'!C16-'Raw OI Data'!D16&gt;0,"▲ Net Long","▼ Net Short")</f>
        <v/>
      </c>
      <c r="G10" s="64">
        <f>IF('Raw OI Data'!C20-'Raw OI Data'!D20&gt;0,"▲ Net Long","▼ Net Short")</f>
        <v/>
      </c>
      <c r="H10" s="64">
        <f>G10</f>
        <v/>
      </c>
      <c r="I10" s="65" t="inlineStr"/>
    </row>
    <row r="11" ht="14" customHeight="1">
      <c r="A11" s="15" t="inlineStr"/>
      <c r="B11" s="25" t="inlineStr">
        <is>
          <t>Fut Stock Net OI</t>
        </is>
      </c>
      <c r="C11" s="66">
        <f>IF('Raw OI Data'!E4-'Raw OI Data'!F4&gt;0,"▲ Net Long","▼ Net Short")</f>
        <v/>
      </c>
      <c r="D11" s="66">
        <f>IF('Raw OI Data'!E8-'Raw OI Data'!F8&gt;0,"▲ Net Long","▼ Net Short")</f>
        <v/>
      </c>
      <c r="E11" s="66">
        <f>IF('Raw OI Data'!E12-'Raw OI Data'!F12&gt;0,"▲ Net Long","▼ Net Short")</f>
        <v/>
      </c>
      <c r="F11" s="66">
        <f>IF('Raw OI Data'!E16-'Raw OI Data'!F16&gt;0,"▲ Net Long","▼ Net Short")</f>
        <v/>
      </c>
      <c r="G11" s="66">
        <f>IF('Raw OI Data'!E20-'Raw OI Data'!F20&gt;0,"▲ Net Long","▼ Net Short")</f>
        <v/>
      </c>
      <c r="H11" s="66">
        <f>G11</f>
        <v/>
      </c>
      <c r="I11" s="67" t="inlineStr"/>
    </row>
    <row r="12" ht="14" customHeight="1">
      <c r="A12" s="17" t="inlineStr"/>
      <c r="B12" s="25" t="inlineStr">
        <is>
          <t>Index OI PCR</t>
        </is>
      </c>
      <c r="C12" s="68">
        <f>IFERROR('Raw OI Data'!H4/'Raw OI Data'!G4,0)</f>
        <v/>
      </c>
      <c r="D12" s="68">
        <f>IFERROR('Raw OI Data'!H8/'Raw OI Data'!G8,0)</f>
        <v/>
      </c>
      <c r="E12" s="68">
        <f>IFERROR('Raw OI Data'!H12/'Raw OI Data'!G12,0)</f>
        <v/>
      </c>
      <c r="F12" s="68">
        <f>IFERROR('Raw OI Data'!H16/'Raw OI Data'!G16,0)</f>
        <v/>
      </c>
      <c r="G12" s="68">
        <f>IFERROR('Raw OI Data'!H20/'Raw OI Data'!G20,0)</f>
        <v/>
      </c>
      <c r="H12" s="68">
        <f>G12</f>
        <v/>
      </c>
      <c r="I12" s="65" t="inlineStr"/>
    </row>
    <row r="13" ht="14" customHeight="1">
      <c r="A13" s="15" t="inlineStr"/>
      <c r="B13" s="25" t="inlineStr">
        <is>
          <t>Total L/S Ratio</t>
        </is>
      </c>
      <c r="C13" s="69">
        <f>IFERROR('Raw OI Data'!O4/'Raw OI Data'!P4,0)</f>
        <v/>
      </c>
      <c r="D13" s="69">
        <f>IFERROR('Raw OI Data'!O8/'Raw OI Data'!P8,0)</f>
        <v/>
      </c>
      <c r="E13" s="69">
        <f>IFERROR('Raw OI Data'!O12/'Raw OI Data'!P12,0)</f>
        <v/>
      </c>
      <c r="F13" s="69">
        <f>IFERROR('Raw OI Data'!O16/'Raw OI Data'!P16,0)</f>
        <v/>
      </c>
      <c r="G13" s="69">
        <f>IFERROR('Raw OI Data'!O20/'Raw OI Data'!P20,0)</f>
        <v/>
      </c>
      <c r="H13" s="69">
        <f>G13</f>
        <v/>
      </c>
      <c r="I13" s="67" t="inlineStr"/>
    </row>
    <row r="14" ht="14" customHeight="1">
      <c r="A14" s="17" t="inlineStr"/>
      <c r="B14" s="50" t="inlineStr">
        <is>
          <t>Composite Signal</t>
        </is>
      </c>
      <c r="C14" s="70">
        <f>IF(AND(('Raw OI Data'!C4-'Raw OI Data'!D4)&gt;0,IFERROR('Raw OI Data'!H4/'Raw OI Data'!G4,1)&lt;1,IFERROR('Raw OI Data'!O4/'Raw OI Data'!P4,1)&gt;1),"🟢 Bullish",IF(AND(('Raw OI Data'!C4-'Raw OI Data'!D4)&lt;0,IFERROR('Raw OI Data'!H4/'Raw OI Data'!G4,1)&gt;1.5,IFERROR('Raw OI Data'!O4/'Raw OI Data'!P4,1)&lt;1),"🔴 Bearish",IF(AND(('Raw OI Data'!C4-'Raw OI Data'!D4)&lt;0,IFERROR('Raw OI Data'!H4/'Raw OI Data'!G4,1)&gt;1.2),"🟠 Cautious",IF(AND(('Raw OI Data'!C4-'Raw OI Data'!D4)&gt;0,IFERROR('Raw OI Data'!H4/'Raw OI Data'!G4,1)&lt;0.8),"🟢 Bullish","🟡 Neutral"))))</f>
        <v/>
      </c>
      <c r="D14" s="70">
        <f>IF(AND(('Raw OI Data'!C8-'Raw OI Data'!D8)&gt;0,IFERROR('Raw OI Data'!H8/'Raw OI Data'!G8,1)&lt;1,IFERROR('Raw OI Data'!O8/'Raw OI Data'!P8,1)&gt;1),"🟢 Bullish",IF(AND(('Raw OI Data'!C8-'Raw OI Data'!D8)&lt;0,IFERROR('Raw OI Data'!H8/'Raw OI Data'!G8,1)&gt;1.5,IFERROR('Raw OI Data'!O8/'Raw OI Data'!P8,1)&lt;1),"🔴 Bearish",IF(AND(('Raw OI Data'!C8-'Raw OI Data'!D8)&lt;0,IFERROR('Raw OI Data'!H8/'Raw OI Data'!G8,1)&gt;1.2),"🟠 Cautious",IF(AND(('Raw OI Data'!C8-'Raw OI Data'!D8)&gt;0,IFERROR('Raw OI Data'!H8/'Raw OI Data'!G8,1)&lt;0.8),"🟢 Bullish","🟡 Neutral"))))</f>
        <v/>
      </c>
      <c r="E14" s="70">
        <f>IF(AND(('Raw OI Data'!C12-'Raw OI Data'!D12)&gt;0,IFERROR('Raw OI Data'!H12/'Raw OI Data'!G12,1)&lt;1,IFERROR('Raw OI Data'!O12/'Raw OI Data'!P12,1)&gt;1),"🟢 Bullish",IF(AND(('Raw OI Data'!C12-'Raw OI Data'!D12)&lt;0,IFERROR('Raw OI Data'!H12/'Raw OI Data'!G12,1)&gt;1.5,IFERROR('Raw OI Data'!O12/'Raw OI Data'!P12,1)&lt;1),"🔴 Bearish",IF(AND(('Raw OI Data'!C12-'Raw OI Data'!D12)&lt;0,IFERROR('Raw OI Data'!H12/'Raw OI Data'!G12,1)&gt;1.2),"🟠 Cautious",IF(AND(('Raw OI Data'!C12-'Raw OI Data'!D12)&gt;0,IFERROR('Raw OI Data'!H12/'Raw OI Data'!G12,1)&lt;0.8),"🟢 Bullish","🟡 Neutral"))))</f>
        <v/>
      </c>
      <c r="F14" s="70">
        <f>IF(AND(('Raw OI Data'!C16-'Raw OI Data'!D16)&gt;0,IFERROR('Raw OI Data'!H16/'Raw OI Data'!G16,1)&lt;1,IFERROR('Raw OI Data'!O16/'Raw OI Data'!P16,1)&gt;1),"🟢 Bullish",IF(AND(('Raw OI Data'!C16-'Raw OI Data'!D16)&lt;0,IFERROR('Raw OI Data'!H16/'Raw OI Data'!G16,1)&gt;1.5,IFERROR('Raw OI Data'!O16/'Raw OI Data'!P16,1)&lt;1),"🔴 Bearish",IF(AND(('Raw OI Data'!C16-'Raw OI Data'!D16)&lt;0,IFERROR('Raw OI Data'!H16/'Raw OI Data'!G16,1)&gt;1.2),"🟠 Cautious",IF(AND(('Raw OI Data'!C16-'Raw OI Data'!D16)&gt;0,IFERROR('Raw OI Data'!H16/'Raw OI Data'!G16,1)&lt;0.8),"🟢 Bullish","🟡 Neutral"))))</f>
        <v/>
      </c>
      <c r="G14" s="70">
        <f>IF(AND(('Raw OI Data'!C20-'Raw OI Data'!D20)&gt;0,IFERROR('Raw OI Data'!H20/'Raw OI Data'!G20,1)&lt;1,IFERROR('Raw OI Data'!O20/'Raw OI Data'!P20,1)&gt;1),"🟢 Bullish",IF(AND(('Raw OI Data'!C20-'Raw OI Data'!D20)&lt;0,IFERROR('Raw OI Data'!H20/'Raw OI Data'!G20,1)&gt;1.5,IFERROR('Raw OI Data'!O20/'Raw OI Data'!P20,1)&lt;1),"🔴 Bearish",IF(AND(('Raw OI Data'!C20-'Raw OI Data'!D20)&lt;0,IFERROR('Raw OI Data'!H20/'Raw OI Data'!G20,1)&gt;1.2),"🟠 Cautious",IF(AND(('Raw OI Data'!C20-'Raw OI Data'!D20)&gt;0,IFERROR('Raw OI Data'!H20/'Raw OI Data'!G20,1)&lt;0.8),"🟢 Bullish","🟡 Neutral"))))</f>
        <v/>
      </c>
      <c r="H14" s="71">
        <f>G14</f>
        <v/>
      </c>
      <c r="I14" s="65" t="inlineStr">
        <is>
          <t>Domestic Institutions — typically hedged; PCR key</t>
        </is>
      </c>
    </row>
    <row r="15" ht="16" customHeight="1">
      <c r="A15" s="14" t="inlineStr">
        <is>
          <t>FII</t>
        </is>
      </c>
    </row>
    <row r="16" ht="14" customHeight="1">
      <c r="A16" s="17" t="inlineStr"/>
      <c r="B16" s="25" t="inlineStr">
        <is>
          <t>Fut Index Net OI</t>
        </is>
      </c>
      <c r="C16" s="64">
        <f>IF('Raw OI Data'!C5-'Raw OI Data'!D5&gt;0,"▲ Net Long","▼ Net Short")</f>
        <v/>
      </c>
      <c r="D16" s="64">
        <f>IF('Raw OI Data'!C9-'Raw OI Data'!D9&gt;0,"▲ Net Long","▼ Net Short")</f>
        <v/>
      </c>
      <c r="E16" s="64">
        <f>IF('Raw OI Data'!C13-'Raw OI Data'!D13&gt;0,"▲ Net Long","▼ Net Short")</f>
        <v/>
      </c>
      <c r="F16" s="64">
        <f>IF('Raw OI Data'!C17-'Raw OI Data'!D17&gt;0,"▲ Net Long","▼ Net Short")</f>
        <v/>
      </c>
      <c r="G16" s="64">
        <f>IF('Raw OI Data'!C21-'Raw OI Data'!D21&gt;0,"▲ Net Long","▼ Net Short")</f>
        <v/>
      </c>
      <c r="H16" s="64">
        <f>G16</f>
        <v/>
      </c>
      <c r="I16" s="65" t="inlineStr"/>
    </row>
    <row r="17" ht="14" customHeight="1">
      <c r="A17" s="15" t="inlineStr"/>
      <c r="B17" s="25" t="inlineStr">
        <is>
          <t>Fut Stock Net OI</t>
        </is>
      </c>
      <c r="C17" s="66">
        <f>IF('Raw OI Data'!E5-'Raw OI Data'!F5&gt;0,"▲ Net Long","▼ Net Short")</f>
        <v/>
      </c>
      <c r="D17" s="66">
        <f>IF('Raw OI Data'!E9-'Raw OI Data'!F9&gt;0,"▲ Net Long","▼ Net Short")</f>
        <v/>
      </c>
      <c r="E17" s="66">
        <f>IF('Raw OI Data'!E13-'Raw OI Data'!F13&gt;0,"▲ Net Long","▼ Net Short")</f>
        <v/>
      </c>
      <c r="F17" s="66">
        <f>IF('Raw OI Data'!E17-'Raw OI Data'!F17&gt;0,"▲ Net Long","▼ Net Short")</f>
        <v/>
      </c>
      <c r="G17" s="66">
        <f>IF('Raw OI Data'!E21-'Raw OI Data'!F21&gt;0,"▲ Net Long","▼ Net Short")</f>
        <v/>
      </c>
      <c r="H17" s="66">
        <f>G17</f>
        <v/>
      </c>
      <c r="I17" s="67" t="inlineStr"/>
    </row>
    <row r="18" ht="14" customHeight="1">
      <c r="A18" s="17" t="inlineStr"/>
      <c r="B18" s="25" t="inlineStr">
        <is>
          <t>Index OI PCR</t>
        </is>
      </c>
      <c r="C18" s="68">
        <f>IFERROR('Raw OI Data'!H5/'Raw OI Data'!G5,0)</f>
        <v/>
      </c>
      <c r="D18" s="68">
        <f>IFERROR('Raw OI Data'!H9/'Raw OI Data'!G9,0)</f>
        <v/>
      </c>
      <c r="E18" s="68">
        <f>IFERROR('Raw OI Data'!H13/'Raw OI Data'!G13,0)</f>
        <v/>
      </c>
      <c r="F18" s="68">
        <f>IFERROR('Raw OI Data'!H17/'Raw OI Data'!G17,0)</f>
        <v/>
      </c>
      <c r="G18" s="68">
        <f>IFERROR('Raw OI Data'!H21/'Raw OI Data'!G21,0)</f>
        <v/>
      </c>
      <c r="H18" s="68">
        <f>G18</f>
        <v/>
      </c>
      <c r="I18" s="65" t="inlineStr"/>
    </row>
    <row r="19" ht="14" customHeight="1">
      <c r="A19" s="15" t="inlineStr"/>
      <c r="B19" s="25" t="inlineStr">
        <is>
          <t>Total L/S Ratio</t>
        </is>
      </c>
      <c r="C19" s="69">
        <f>IFERROR('Raw OI Data'!O5/'Raw OI Data'!P5,0)</f>
        <v/>
      </c>
      <c r="D19" s="69">
        <f>IFERROR('Raw OI Data'!O9/'Raw OI Data'!P9,0)</f>
        <v/>
      </c>
      <c r="E19" s="69">
        <f>IFERROR('Raw OI Data'!O13/'Raw OI Data'!P13,0)</f>
        <v/>
      </c>
      <c r="F19" s="69">
        <f>IFERROR('Raw OI Data'!O17/'Raw OI Data'!P17,0)</f>
        <v/>
      </c>
      <c r="G19" s="69">
        <f>IFERROR('Raw OI Data'!O21/'Raw OI Data'!P21,0)</f>
        <v/>
      </c>
      <c r="H19" s="69">
        <f>G19</f>
        <v/>
      </c>
      <c r="I19" s="67" t="inlineStr"/>
    </row>
    <row r="20" ht="14" customHeight="1">
      <c r="A20" s="17" t="inlineStr"/>
      <c r="B20" s="50" t="inlineStr">
        <is>
          <t>Composite Signal</t>
        </is>
      </c>
      <c r="C20" s="70">
        <f>IF(AND(('Raw OI Data'!C5-'Raw OI Data'!D5)&gt;0,IFERROR('Raw OI Data'!H5/'Raw OI Data'!G5,1)&lt;1,IFERROR('Raw OI Data'!O5/'Raw OI Data'!P5,1)&gt;1),"🟢 Bullish",IF(AND(('Raw OI Data'!C5-'Raw OI Data'!D5)&lt;0,IFERROR('Raw OI Data'!H5/'Raw OI Data'!G5,1)&gt;1.5,IFERROR('Raw OI Data'!O5/'Raw OI Data'!P5,1)&lt;1),"🔴 Bearish",IF(AND(('Raw OI Data'!C5-'Raw OI Data'!D5)&lt;0,IFERROR('Raw OI Data'!H5/'Raw OI Data'!G5,1)&gt;1.2),"🟠 Cautious",IF(AND(('Raw OI Data'!C5-'Raw OI Data'!D5)&gt;0,IFERROR('Raw OI Data'!H5/'Raw OI Data'!G5,1)&lt;0.8),"🟢 Bullish","🟡 Neutral"))))</f>
        <v/>
      </c>
      <c r="D20" s="70">
        <f>IF(AND(('Raw OI Data'!C9-'Raw OI Data'!D9)&gt;0,IFERROR('Raw OI Data'!H9/'Raw OI Data'!G9,1)&lt;1,IFERROR('Raw OI Data'!O9/'Raw OI Data'!P9,1)&gt;1),"🟢 Bullish",IF(AND(('Raw OI Data'!C9-'Raw OI Data'!D9)&lt;0,IFERROR('Raw OI Data'!H9/'Raw OI Data'!G9,1)&gt;1.5,IFERROR('Raw OI Data'!O9/'Raw OI Data'!P9,1)&lt;1),"🔴 Bearish",IF(AND(('Raw OI Data'!C9-'Raw OI Data'!D9)&lt;0,IFERROR('Raw OI Data'!H9/'Raw OI Data'!G9,1)&gt;1.2),"🟠 Cautious",IF(AND(('Raw OI Data'!C9-'Raw OI Data'!D9)&gt;0,IFERROR('Raw OI Data'!H9/'Raw OI Data'!G9,1)&lt;0.8),"🟢 Bullish","🟡 Neutral"))))</f>
        <v/>
      </c>
      <c r="E20" s="70">
        <f>IF(AND(('Raw OI Data'!C13-'Raw OI Data'!D13)&gt;0,IFERROR('Raw OI Data'!H13/'Raw OI Data'!G13,1)&lt;1,IFERROR('Raw OI Data'!O13/'Raw OI Data'!P13,1)&gt;1),"🟢 Bullish",IF(AND(('Raw OI Data'!C13-'Raw OI Data'!D13)&lt;0,IFERROR('Raw OI Data'!H13/'Raw OI Data'!G13,1)&gt;1.5,IFERROR('Raw OI Data'!O13/'Raw OI Data'!P13,1)&lt;1),"🔴 Bearish",IF(AND(('Raw OI Data'!C13-'Raw OI Data'!D13)&lt;0,IFERROR('Raw OI Data'!H13/'Raw OI Data'!G13,1)&gt;1.2),"🟠 Cautious",IF(AND(('Raw OI Data'!C13-'Raw OI Data'!D13)&gt;0,IFERROR('Raw OI Data'!H13/'Raw OI Data'!G13,1)&lt;0.8),"🟢 Bullish","🟡 Neutral"))))</f>
        <v/>
      </c>
      <c r="F20" s="70">
        <f>IF(AND(('Raw OI Data'!C17-'Raw OI Data'!D17)&gt;0,IFERROR('Raw OI Data'!H17/'Raw OI Data'!G17,1)&lt;1,IFERROR('Raw OI Data'!O17/'Raw OI Data'!P17,1)&gt;1),"🟢 Bullish",IF(AND(('Raw OI Data'!C17-'Raw OI Data'!D17)&lt;0,IFERROR('Raw OI Data'!H17/'Raw OI Data'!G17,1)&gt;1.5,IFERROR('Raw OI Data'!O17/'Raw OI Data'!P17,1)&lt;1),"🔴 Bearish",IF(AND(('Raw OI Data'!C17-'Raw OI Data'!D17)&lt;0,IFERROR('Raw OI Data'!H17/'Raw OI Data'!G17,1)&gt;1.2),"🟠 Cautious",IF(AND(('Raw OI Data'!C17-'Raw OI Data'!D17)&gt;0,IFERROR('Raw OI Data'!H17/'Raw OI Data'!G17,1)&lt;0.8),"🟢 Bullish","🟡 Neutral"))))</f>
        <v/>
      </c>
      <c r="G20" s="70">
        <f>IF(AND(('Raw OI Data'!C21-'Raw OI Data'!D21)&gt;0,IFERROR('Raw OI Data'!H21/'Raw OI Data'!G21,1)&lt;1,IFERROR('Raw OI Data'!O21/'Raw OI Data'!P21,1)&gt;1),"🟢 Bullish",IF(AND(('Raw OI Data'!C21-'Raw OI Data'!D21)&lt;0,IFERROR('Raw OI Data'!H21/'Raw OI Data'!G21,1)&gt;1.5,IFERROR('Raw OI Data'!O21/'Raw OI Data'!P21,1)&lt;1),"🔴 Bearish",IF(AND(('Raw OI Data'!C21-'Raw OI Data'!D21)&lt;0,IFERROR('Raw OI Data'!H21/'Raw OI Data'!G21,1)&gt;1.2),"🟠 Cautious",IF(AND(('Raw OI Data'!C21-'Raw OI Data'!D21)&gt;0,IFERROR('Raw OI Data'!H21/'Raw OI Data'!G21,1)&lt;0.8),"🟢 Bullish","🟡 Neutral"))))</f>
        <v/>
      </c>
      <c r="H20" s="71">
        <f>G20</f>
        <v/>
      </c>
      <c r="I20" s="65" t="inlineStr">
        <is>
          <t>Foreign Institutions — directional alpha signal</t>
        </is>
      </c>
    </row>
    <row r="21" ht="16" customHeight="1">
      <c r="A21" s="14" t="inlineStr">
        <is>
          <t>Pro</t>
        </is>
      </c>
    </row>
    <row r="22" ht="14" customHeight="1">
      <c r="A22" s="17" t="inlineStr"/>
      <c r="B22" s="25" t="inlineStr">
        <is>
          <t>Fut Index Net OI</t>
        </is>
      </c>
      <c r="C22" s="64">
        <f>IF('Raw OI Data'!C6-'Raw OI Data'!D6&gt;0,"▲ Net Long","▼ Net Short")</f>
        <v/>
      </c>
      <c r="D22" s="64">
        <f>IF('Raw OI Data'!C10-'Raw OI Data'!D10&gt;0,"▲ Net Long","▼ Net Short")</f>
        <v/>
      </c>
      <c r="E22" s="64">
        <f>IF('Raw OI Data'!C14-'Raw OI Data'!D14&gt;0,"▲ Net Long","▼ Net Short")</f>
        <v/>
      </c>
      <c r="F22" s="64">
        <f>IF('Raw OI Data'!C18-'Raw OI Data'!D18&gt;0,"▲ Net Long","▼ Net Short")</f>
        <v/>
      </c>
      <c r="G22" s="64">
        <f>IF('Raw OI Data'!C22-'Raw OI Data'!D22&gt;0,"▲ Net Long","▼ Net Short")</f>
        <v/>
      </c>
      <c r="H22" s="64">
        <f>G22</f>
        <v/>
      </c>
      <c r="I22" s="65" t="inlineStr"/>
    </row>
    <row r="23" ht="14" customHeight="1">
      <c r="A23" s="15" t="inlineStr"/>
      <c r="B23" s="25" t="inlineStr">
        <is>
          <t>Fut Stock Net OI</t>
        </is>
      </c>
      <c r="C23" s="66">
        <f>IF('Raw OI Data'!E6-'Raw OI Data'!F6&gt;0,"▲ Net Long","▼ Net Short")</f>
        <v/>
      </c>
      <c r="D23" s="66">
        <f>IF('Raw OI Data'!E10-'Raw OI Data'!F10&gt;0,"▲ Net Long","▼ Net Short")</f>
        <v/>
      </c>
      <c r="E23" s="66">
        <f>IF('Raw OI Data'!E14-'Raw OI Data'!F14&gt;0,"▲ Net Long","▼ Net Short")</f>
        <v/>
      </c>
      <c r="F23" s="66">
        <f>IF('Raw OI Data'!E18-'Raw OI Data'!F18&gt;0,"▲ Net Long","▼ Net Short")</f>
        <v/>
      </c>
      <c r="G23" s="66">
        <f>IF('Raw OI Data'!E22-'Raw OI Data'!F22&gt;0,"▲ Net Long","▼ Net Short")</f>
        <v/>
      </c>
      <c r="H23" s="66">
        <f>G23</f>
        <v/>
      </c>
      <c r="I23" s="67" t="inlineStr"/>
    </row>
    <row r="24" ht="14" customHeight="1">
      <c r="A24" s="17" t="inlineStr"/>
      <c r="B24" s="25" t="inlineStr">
        <is>
          <t>Index OI PCR</t>
        </is>
      </c>
      <c r="C24" s="68">
        <f>IFERROR('Raw OI Data'!H6/'Raw OI Data'!G6,0)</f>
        <v/>
      </c>
      <c r="D24" s="68">
        <f>IFERROR('Raw OI Data'!H10/'Raw OI Data'!G10,0)</f>
        <v/>
      </c>
      <c r="E24" s="68">
        <f>IFERROR('Raw OI Data'!H14/'Raw OI Data'!G14,0)</f>
        <v/>
      </c>
      <c r="F24" s="68">
        <f>IFERROR('Raw OI Data'!H18/'Raw OI Data'!G18,0)</f>
        <v/>
      </c>
      <c r="G24" s="68">
        <f>IFERROR('Raw OI Data'!H22/'Raw OI Data'!G22,0)</f>
        <v/>
      </c>
      <c r="H24" s="68">
        <f>G24</f>
        <v/>
      </c>
      <c r="I24" s="65" t="inlineStr"/>
    </row>
    <row r="25" ht="14" customHeight="1">
      <c r="A25" s="15" t="inlineStr"/>
      <c r="B25" s="25" t="inlineStr">
        <is>
          <t>Total L/S Ratio</t>
        </is>
      </c>
      <c r="C25" s="69">
        <f>IFERROR('Raw OI Data'!O6/'Raw OI Data'!P6,0)</f>
        <v/>
      </c>
      <c r="D25" s="69">
        <f>IFERROR('Raw OI Data'!O10/'Raw OI Data'!P10,0)</f>
        <v/>
      </c>
      <c r="E25" s="69">
        <f>IFERROR('Raw OI Data'!O14/'Raw OI Data'!P14,0)</f>
        <v/>
      </c>
      <c r="F25" s="69">
        <f>IFERROR('Raw OI Data'!O18/'Raw OI Data'!P18,0)</f>
        <v/>
      </c>
      <c r="G25" s="69">
        <f>IFERROR('Raw OI Data'!O22/'Raw OI Data'!P22,0)</f>
        <v/>
      </c>
      <c r="H25" s="69">
        <f>G25</f>
        <v/>
      </c>
      <c r="I25" s="67" t="inlineStr"/>
    </row>
    <row r="26" ht="14" customHeight="1">
      <c r="A26" s="17" t="inlineStr"/>
      <c r="B26" s="50" t="inlineStr">
        <is>
          <t>Composite Signal</t>
        </is>
      </c>
      <c r="C26" s="70">
        <f>IF(AND(('Raw OI Data'!C6-'Raw OI Data'!D6)&gt;0,IFERROR('Raw OI Data'!H6/'Raw OI Data'!G6,1)&lt;1,IFERROR('Raw OI Data'!O6/'Raw OI Data'!P6,1)&gt;1),"🟢 Bullish",IF(AND(('Raw OI Data'!C6-'Raw OI Data'!D6)&lt;0,IFERROR('Raw OI Data'!H6/'Raw OI Data'!G6,1)&gt;1.5,IFERROR('Raw OI Data'!O6/'Raw OI Data'!P6,1)&lt;1),"🔴 Bearish",IF(AND(('Raw OI Data'!C6-'Raw OI Data'!D6)&lt;0,IFERROR('Raw OI Data'!H6/'Raw OI Data'!G6,1)&gt;1.2),"🟠 Cautious",IF(AND(('Raw OI Data'!C6-'Raw OI Data'!D6)&gt;0,IFERROR('Raw OI Data'!H6/'Raw OI Data'!G6,1)&lt;0.8),"🟢 Bullish","🟡 Neutral"))))</f>
        <v/>
      </c>
      <c r="D26" s="70">
        <f>IF(AND(('Raw OI Data'!C10-'Raw OI Data'!D10)&gt;0,IFERROR('Raw OI Data'!H10/'Raw OI Data'!G10,1)&lt;1,IFERROR('Raw OI Data'!O10/'Raw OI Data'!P10,1)&gt;1),"🟢 Bullish",IF(AND(('Raw OI Data'!C10-'Raw OI Data'!D10)&lt;0,IFERROR('Raw OI Data'!H10/'Raw OI Data'!G10,1)&gt;1.5,IFERROR('Raw OI Data'!O10/'Raw OI Data'!P10,1)&lt;1),"🔴 Bearish",IF(AND(('Raw OI Data'!C10-'Raw OI Data'!D10)&lt;0,IFERROR('Raw OI Data'!H10/'Raw OI Data'!G10,1)&gt;1.2),"🟠 Cautious",IF(AND(('Raw OI Data'!C10-'Raw OI Data'!D10)&gt;0,IFERROR('Raw OI Data'!H10/'Raw OI Data'!G10,1)&lt;0.8),"🟢 Bullish","🟡 Neutral"))))</f>
        <v/>
      </c>
      <c r="E26" s="70">
        <f>IF(AND(('Raw OI Data'!C14-'Raw OI Data'!D14)&gt;0,IFERROR('Raw OI Data'!H14/'Raw OI Data'!G14,1)&lt;1,IFERROR('Raw OI Data'!O14/'Raw OI Data'!P14,1)&gt;1),"🟢 Bullish",IF(AND(('Raw OI Data'!C14-'Raw OI Data'!D14)&lt;0,IFERROR('Raw OI Data'!H14/'Raw OI Data'!G14,1)&gt;1.5,IFERROR('Raw OI Data'!O14/'Raw OI Data'!P14,1)&lt;1),"🔴 Bearish",IF(AND(('Raw OI Data'!C14-'Raw OI Data'!D14)&lt;0,IFERROR('Raw OI Data'!H14/'Raw OI Data'!G14,1)&gt;1.2),"🟠 Cautious",IF(AND(('Raw OI Data'!C14-'Raw OI Data'!D14)&gt;0,IFERROR('Raw OI Data'!H14/'Raw OI Data'!G14,1)&lt;0.8),"🟢 Bullish","🟡 Neutral"))))</f>
        <v/>
      </c>
      <c r="F26" s="70">
        <f>IF(AND(('Raw OI Data'!C18-'Raw OI Data'!D18)&gt;0,IFERROR('Raw OI Data'!H18/'Raw OI Data'!G18,1)&lt;1,IFERROR('Raw OI Data'!O18/'Raw OI Data'!P18,1)&gt;1),"🟢 Bullish",IF(AND(('Raw OI Data'!C18-'Raw OI Data'!D18)&lt;0,IFERROR('Raw OI Data'!H18/'Raw OI Data'!G18,1)&gt;1.5,IFERROR('Raw OI Data'!O18/'Raw OI Data'!P18,1)&lt;1),"🔴 Bearish",IF(AND(('Raw OI Data'!C18-'Raw OI Data'!D18)&lt;0,IFERROR('Raw OI Data'!H18/'Raw OI Data'!G18,1)&gt;1.2),"🟠 Cautious",IF(AND(('Raw OI Data'!C18-'Raw OI Data'!D18)&gt;0,IFERROR('Raw OI Data'!H18/'Raw OI Data'!G18,1)&lt;0.8),"🟢 Bullish","🟡 Neutral"))))</f>
        <v/>
      </c>
      <c r="G26" s="70">
        <f>IF(AND(('Raw OI Data'!C22-'Raw OI Data'!D22)&gt;0,IFERROR('Raw OI Data'!H22/'Raw OI Data'!G22,1)&lt;1,IFERROR('Raw OI Data'!O22/'Raw OI Data'!P22,1)&gt;1),"🟢 Bullish",IF(AND(('Raw OI Data'!C22-'Raw OI Data'!D22)&lt;0,IFERROR('Raw OI Data'!H22/'Raw OI Data'!G22,1)&gt;1.5,IFERROR('Raw OI Data'!O22/'Raw OI Data'!P22,1)&lt;1),"🔴 Bearish",IF(AND(('Raw OI Data'!C22-'Raw OI Data'!D22)&lt;0,IFERROR('Raw OI Data'!H22/'Raw OI Data'!G22,1)&gt;1.2),"🟠 Cautious",IF(AND(('Raw OI Data'!C22-'Raw OI Data'!D22)&gt;0,IFERROR('Raw OI Data'!H22/'Raw OI Data'!G22,1)&lt;0.8),"🟢 Bullish","🟡 Neutral"))))</f>
        <v/>
      </c>
      <c r="H26" s="71">
        <f>G26</f>
        <v/>
      </c>
      <c r="I26" s="65" t="inlineStr">
        <is>
          <t>Proprietary desks — fast money; mean-reverting</t>
        </is>
      </c>
    </row>
    <row r="27" ht="16" customHeight="1">
      <c r="A27" s="14" t="inlineStr">
        <is>
          <t>CHAIN-LEVEL SIGNALS  (Market-wide, all participants)</t>
        </is>
      </c>
    </row>
    <row r="28" ht="14" customHeight="1">
      <c r="A28" s="17" t="inlineStr"/>
      <c r="B28" s="25" t="inlineStr">
        <is>
          <t>Max Pain Strike</t>
        </is>
      </c>
      <c r="C28" s="72" t="n"/>
      <c r="D28" s="72" t="n"/>
      <c r="E28" s="72" t="n"/>
      <c r="F28" s="72" t="n"/>
      <c r="G28" s="72" t="n">
        <v>24200</v>
      </c>
      <c r="H28" s="72" t="n">
        <v>24200</v>
      </c>
      <c r="I28" s="17" t="n"/>
    </row>
    <row r="29" ht="14" customHeight="1">
      <c r="A29" s="15" t="inlineStr"/>
      <c r="B29" s="25" t="inlineStr">
        <is>
          <t>ATM Strike</t>
        </is>
      </c>
      <c r="C29" s="73" t="n"/>
      <c r="D29" s="73" t="n"/>
      <c r="E29" s="73" t="n"/>
      <c r="F29" s="73" t="n"/>
      <c r="G29" s="73" t="n">
        <v>24200</v>
      </c>
      <c r="H29" s="73" t="n">
        <v>24200</v>
      </c>
      <c r="I29" s="15" t="n"/>
    </row>
    <row r="30" ht="14" customHeight="1">
      <c r="A30" s="17" t="inlineStr"/>
      <c r="B30" s="25" t="inlineStr">
        <is>
          <t>Aggregate OI PCR</t>
        </is>
      </c>
      <c r="C30" s="74" t="n"/>
      <c r="D30" s="74" t="n"/>
      <c r="E30" s="74" t="n"/>
      <c r="F30" s="74" t="n"/>
      <c r="G30" s="74" t="n">
        <v>1.2726</v>
      </c>
      <c r="H30" s="74" t="n">
        <v>1.2726</v>
      </c>
      <c r="I30" s="17" t="n"/>
    </row>
    <row r="31" ht="14" customHeight="1">
      <c r="A31" s="15" t="inlineStr"/>
      <c r="B31" s="25" t="inlineStr">
        <is>
          <t>Aggregate Volume PCR</t>
        </is>
      </c>
      <c r="C31" s="75" t="n"/>
      <c r="D31" s="75" t="n"/>
      <c r="E31" s="75" t="n"/>
      <c r="F31" s="75" t="n"/>
      <c r="G31" s="75" t="n">
        <v>0.9406</v>
      </c>
      <c r="H31" s="75" t="n">
        <v>0.9406</v>
      </c>
      <c r="I31" s="15" t="n"/>
    </row>
  </sheetData>
  <mergeCells count="6">
    <mergeCell ref="A3:K3"/>
    <mergeCell ref="A21:K21"/>
    <mergeCell ref="A15:K15"/>
    <mergeCell ref="A1:K1"/>
    <mergeCell ref="A9:K9"/>
    <mergeCell ref="A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2026-07-12T12:58:20Z</dcterms:created>
  <dcterms:modified xsi:type="dcterms:W3CDTF">2026-07-12T12:58:21Z</dcterms:modified>
</cp:coreProperties>
</file>